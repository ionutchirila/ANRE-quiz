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filterPrivacy="1" defaultThemeVersion="124226"/>
  <xr:revisionPtr revIDLastSave="0" documentId="13_ncr:1_{36FA3507-86C1-4D1B-8EA0-785EFABFC074}" xr6:coauthVersionLast="47" xr6:coauthVersionMax="47" xr10:uidLastSave="{00000000-0000-0000-0000-000000000000}"/>
  <bookViews>
    <workbookView xWindow="-120" yWindow="-120" windowWidth="29040" windowHeight="15720" xr2:uid="{00000000-000D-0000-FFFF-FFFF00000000}"/>
  </bookViews>
  <sheets>
    <sheet name="Sheet1" sheetId="1" r:id="rId1"/>
    <sheet name="QUIZ" sheetId="5" r:id="rId2"/>
    <sheet name="Sheet2" sheetId="2" r:id="rId3"/>
  </sheets>
  <definedNames>
    <definedName name="_xlnm._FilterDatabase" localSheetId="1" hidden="1">QUIZ!$B$6:$I$31</definedName>
    <definedName name="_xlnm._FilterDatabase" localSheetId="0" hidden="1">Sheet1!$A$6:$G$867</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869" i="1" l="1"/>
  <c r="E870"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B23" i="5" a="1"/>
  <c r="B23" i="5" s="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B10" i="5" s="1" a="1"/>
  <c r="B10" i="5" s="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B21" i="5" s="1" a="1"/>
  <c r="B21" i="5" s="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B17" i="5" s="1" a="1"/>
  <c r="B17" i="5" s="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B18" i="5" s="1" a="1"/>
  <c r="B18" i="5" s="1"/>
  <c r="H759" i="1"/>
  <c r="H760" i="1"/>
  <c r="H761" i="1"/>
  <c r="H762" i="1"/>
  <c r="H763" i="1"/>
  <c r="H764" i="1"/>
  <c r="B9" i="5" a="1"/>
  <c r="B9" i="5" s="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B31" i="5" a="1"/>
  <c r="B31" i="5" s="1"/>
  <c r="H863" i="1"/>
  <c r="H864" i="1"/>
  <c r="H865" i="1"/>
  <c r="H866" i="1"/>
  <c r="H867" i="1"/>
  <c r="N5" i="1"/>
  <c r="N6" i="1" s="1"/>
  <c r="B30" i="5" a="1"/>
  <c r="B30" i="5" s="1"/>
  <c r="B22" i="5" a="1"/>
  <c r="B22" i="5" s="1"/>
  <c r="B28" i="5" a="1"/>
  <c r="B28" i="5" s="1"/>
  <c r="B12" i="5" a="1"/>
  <c r="B12" i="5" s="1"/>
  <c r="B16" i="5" a="1"/>
  <c r="B16" i="5" s="1"/>
  <c r="B14" i="5" a="1"/>
  <c r="B14" i="5" s="1"/>
  <c r="B7" i="5" a="1"/>
  <c r="B8" i="5" a="1"/>
  <c r="B8" i="5" s="1"/>
  <c r="B26" i="5" a="1"/>
  <c r="B26" i="5" s="1"/>
  <c r="B27" i="5" a="1"/>
  <c r="B27" i="5" s="1"/>
  <c r="B13" i="5" a="1"/>
  <c r="B13" i="5" s="1"/>
  <c r="B20" i="5" a="1"/>
  <c r="B20" i="5" s="1"/>
  <c r="B24" i="5" a="1"/>
  <c r="B24" i="5" s="1"/>
  <c r="B29" i="5" a="1"/>
  <c r="B29" i="5" s="1"/>
  <c r="B11" i="5" a="1"/>
  <c r="B11" i="5" s="1"/>
  <c r="B25" i="5" a="1"/>
  <c r="B25" i="5" s="1"/>
  <c r="B15" i="5" a="1"/>
  <c r="B15" i="5" s="1"/>
  <c r="O5" i="1" l="1"/>
  <c r="B19" i="5" a="1"/>
  <c r="B19" i="5" s="1"/>
  <c r="B7" i="5"/>
  <c r="O5" i="5" l="1"/>
  <c r="P5" i="5" l="1"/>
  <c r="O6"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324" authorId="0" shapeId="0" xr:uid="{98485233-2E5A-4689-8315-476E74D24F1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4.3.4.1.1  din I7</t>
        </r>
      </text>
    </comment>
    <comment ref="C764" authorId="0" shapeId="0" xr:uid="{B61A920F-3AF0-41B8-AEF4-7636AC018BA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Orice persoana juridica NU  fizica</t>
        </r>
      </text>
    </comment>
    <comment ref="B794" authorId="0" shapeId="0" xr:uid="{71FD63E2-8914-4DFF-992D-526369D585A1}">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client final - orice persoană fizică sau juridică ce cumpără energie electrică pentru consum propriu 
Reply:
    în cuprinsul legii noțiunile de "client final" și "consumator" sunt echivalente;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<sst xmlns="http://schemas.openxmlformats.org/spreadsheetml/2006/main" count="6098" uniqueCount="3194">
  <si>
    <t>Varianta a</t>
  </si>
  <si>
    <t>Varianta b</t>
  </si>
  <si>
    <t>Varianta c</t>
  </si>
  <si>
    <t>Atunci când se compensează energia electrica reactiva prin baterii de condensatoare, tensiunea în reţeaua electrica:</t>
  </si>
  <si>
    <t xml:space="preserve"> scade</t>
  </si>
  <si>
    <t xml:space="preserve"> nu se modifica</t>
  </si>
  <si>
    <t xml:space="preserve"> creste</t>
  </si>
  <si>
    <t>Bobinele de stingere din staţiile electrice de transformare sunt echipamente pentru:</t>
  </si>
  <si>
    <t>compensarea factorului de putere</t>
  </si>
  <si>
    <t>dotări PSI</t>
  </si>
  <si>
    <t>compensarea curenţilor capacitivi</t>
  </si>
  <si>
    <t>Câmpul magnetic poate fi produs:</t>
  </si>
  <si>
    <t>numai de magneţi permanenţi</t>
  </si>
  <si>
    <t>numai de electromagneţi</t>
  </si>
  <si>
    <t>de magneţi permanenţi si de electromagneţi</t>
  </si>
  <si>
    <r>
      <t xml:space="preserve">25 </t>
    </r>
    <r>
      <rPr>
        <sz val="11"/>
        <rFont val="Times New Roman"/>
        <family val="1"/>
      </rPr>
      <t>μ</t>
    </r>
    <r>
      <rPr>
        <sz val="11"/>
        <rFont val="Times New Roman"/>
        <family val="1"/>
        <charset val="238"/>
      </rPr>
      <t>F</t>
    </r>
  </si>
  <si>
    <r>
      <t xml:space="preserve">50 </t>
    </r>
    <r>
      <rPr>
        <sz val="11"/>
        <rFont val="Times New Roman"/>
        <family val="1"/>
      </rPr>
      <t>μ</t>
    </r>
    <r>
      <rPr>
        <sz val="11"/>
        <rFont val="Times New Roman"/>
        <family val="1"/>
        <charset val="238"/>
      </rPr>
      <t>F</t>
    </r>
  </si>
  <si>
    <t>L+N-1 ecuaţii distincte</t>
  </si>
  <si>
    <t>L-N +1 ecuaţii distincte</t>
  </si>
  <si>
    <t>N-L+1 ecuaţii distincte</t>
  </si>
  <si>
    <r>
      <t>AAR se util</t>
    </r>
    <r>
      <rPr>
        <sz val="11"/>
        <rFont val="Times New Roman"/>
        <family val="1"/>
      </rPr>
      <t>i</t>
    </r>
    <r>
      <rPr>
        <sz val="11"/>
        <rFont val="Times New Roman"/>
        <family val="1"/>
        <charset val="238"/>
      </rPr>
      <t>zează în scopul:</t>
    </r>
  </si>
  <si>
    <t>limitării curenţilor de scurtcircuit;</t>
  </si>
  <si>
    <t>creşterii continuităţii în alimentare;</t>
  </si>
  <si>
    <t>reducerii pierderilor de energie pe linii.</t>
  </si>
  <si>
    <t>Alunecarea s a unui motor asincron are valori:</t>
  </si>
  <si>
    <t xml:space="preserve"> cuprinse între 1 si 0</t>
  </si>
  <si>
    <t xml:space="preserve"> cuprinse între -1 si 0</t>
  </si>
  <si>
    <r>
      <t xml:space="preserve"> </t>
    </r>
    <r>
      <rPr>
        <sz val="11"/>
        <rFont val="Times New Roman"/>
        <family val="1"/>
      </rPr>
      <t>de regulă, mai mari decât 1</t>
    </r>
  </si>
  <si>
    <t>Aparatul notat cu C pe desenul de mai sus al unei celule prefabricate de medie tensiune de tip închis, reprezintă un:</t>
  </si>
  <si>
    <t>întreruptor;</t>
  </si>
  <si>
    <t>transformator de curent;</t>
  </si>
  <si>
    <t>transformator de tensiune</t>
  </si>
  <si>
    <t>Care element nu se foloseşte la reglarea tensiunii în reţelele electrice:</t>
  </si>
  <si>
    <t>bobina de compensare</t>
  </si>
  <si>
    <t>transformatorul</t>
  </si>
  <si>
    <t>rezistorul</t>
  </si>
  <si>
    <t>Cele mai des utilizate pentru serviciile interne ale centralelor electrice sunt:</t>
  </si>
  <si>
    <t>motoarele de curent continuu</t>
  </si>
  <si>
    <t>motoarele sincrone</t>
  </si>
  <si>
    <t>motoarele asincrone</t>
  </si>
  <si>
    <t>Bobinele pentru limitarea curenţilor de scurtcircuit au:</t>
  </si>
  <si>
    <t>rezistenta mare</t>
  </si>
  <si>
    <t>inductanţa mare</t>
  </si>
  <si>
    <t>inductanţa mica</t>
  </si>
  <si>
    <t>inducţia magnetică</t>
  </si>
  <si>
    <t xml:space="preserve">Comparativ cu cele uscate, transformatoarele imersate prezintă : </t>
  </si>
  <si>
    <t>o bună rezistenţă la foc;</t>
  </si>
  <si>
    <t>risc crescut de poluare acustică a mediului ambiant;</t>
  </si>
  <si>
    <t>necesitatea unor amenajări speciale la instalare</t>
  </si>
  <si>
    <t xml:space="preserve">Bobinele montate pe plecari radiale limiteaza curentii de scurtcircuit
</t>
  </si>
  <si>
    <t xml:space="preserve">atat inainte, cat si dupa punctele lor de racordare la barele statiei; </t>
  </si>
  <si>
    <t>inainte de punctele lor de racordare la barele statiei;</t>
  </si>
  <si>
    <t>dupa punctele lor de racordare la barele statiei.</t>
  </si>
  <si>
    <t>Cantitatea de căldura produsã la trecerea curentului electric printr-un conductor este:</t>
  </si>
  <si>
    <t xml:space="preserve"> direct proporţională cu secţiunea conductorului</t>
  </si>
  <si>
    <t xml:space="preserve"> direct proporţionala cu pătratul intensităţii curentului</t>
  </si>
  <si>
    <t xml:space="preserve"> invers proporţionala cu rezistenta conductorului</t>
  </si>
  <si>
    <t>Cantitatea de electricitate cu care se încarcă o baterie de n condensatoare montate în serie, fiecare de capacitate C, este:</t>
  </si>
  <si>
    <t>aceeaşi cu care se încarcă fiecare element component</t>
  </si>
  <si>
    <r>
      <t xml:space="preserve">suma </t>
    </r>
    <r>
      <rPr>
        <sz val="11"/>
        <rFont val="Times New Roman"/>
        <family val="1"/>
      </rPr>
      <t>cantităţilor cu care se înarcă fiecare</t>
    </r>
    <r>
      <rPr>
        <sz val="11"/>
        <rFont val="Times New Roman"/>
        <family val="1"/>
        <charset val="238"/>
      </rPr>
      <t xml:space="preserve"> element în parte</t>
    </r>
  </si>
  <si>
    <t>egală cu de două ori cantitatea de electricitate cu care se încarcă fiecare condensator</t>
  </si>
  <si>
    <r>
      <t>Capacitatea de serviciu Cs a unei linii electrice aeriene simetrice, având capacităţile C</t>
    </r>
    <r>
      <rPr>
        <vertAlign val="subscript"/>
        <sz val="11"/>
        <rFont val="Times New Roman"/>
        <family val="1"/>
      </rPr>
      <t>12</t>
    </r>
    <r>
      <rPr>
        <sz val="11"/>
        <rFont val="Times New Roman"/>
        <family val="1"/>
        <charset val="238"/>
      </rPr>
      <t>=C</t>
    </r>
    <r>
      <rPr>
        <vertAlign val="subscript"/>
        <sz val="11"/>
        <rFont val="Times New Roman"/>
        <family val="1"/>
      </rPr>
      <t>23</t>
    </r>
    <r>
      <rPr>
        <sz val="11"/>
        <rFont val="Times New Roman"/>
        <family val="1"/>
        <charset val="238"/>
      </rPr>
      <t>=C</t>
    </r>
    <r>
      <rPr>
        <vertAlign val="subscript"/>
        <sz val="11"/>
        <rFont val="Times New Roman"/>
        <family val="1"/>
      </rPr>
      <t>31</t>
    </r>
    <r>
      <rPr>
        <sz val="11"/>
        <rFont val="Times New Roman"/>
        <family val="1"/>
        <charset val="238"/>
      </rPr>
      <t xml:space="preserve"> =C </t>
    </r>
    <r>
      <rPr>
        <sz val="11"/>
        <rFont val="Times New Roman"/>
        <family val="1"/>
      </rPr>
      <t xml:space="preserve">şi neglijînd influenţa pământului, </t>
    </r>
    <r>
      <rPr>
        <sz val="11"/>
        <rFont val="Times New Roman"/>
        <family val="1"/>
        <charset val="238"/>
      </rPr>
      <t>este:</t>
    </r>
  </si>
  <si>
    <t>Cs=3 C</t>
  </si>
  <si>
    <t>Cs=C/3</t>
  </si>
  <si>
    <t>Cs=C</t>
  </si>
  <si>
    <t>Capacitatea echivalentă a 2 condensatoare, fiecare având capacitatea C, montate în serie este egală cu:</t>
  </si>
  <si>
    <t xml:space="preserve">2 C </t>
  </si>
  <si>
    <t xml:space="preserve"> C/2 </t>
  </si>
  <si>
    <t xml:space="preserve"> C </t>
  </si>
  <si>
    <t>Capsularea monopolară conduce la :</t>
  </si>
  <si>
    <t xml:space="preserve">eliminarea totală a posibilităţii apariţiei unui scurtcircuit între faze; </t>
  </si>
  <si>
    <t>micşorarea riscului unor pierderi de gaz izolant;</t>
  </si>
  <si>
    <t>reducerea cheltuielilor de realizare a instalaţiilor.</t>
  </si>
  <si>
    <t>Care dintre materialele electrotehnice admit o densitate de curent mai mare:</t>
  </si>
  <si>
    <t>aluminiu</t>
  </si>
  <si>
    <t>cupru</t>
  </si>
  <si>
    <t>ambele admit aceeaşi densitate de curent</t>
  </si>
  <si>
    <t>Care dintre relaţiile următoare este adevărată:</t>
  </si>
  <si>
    <t xml:space="preserve">inducţia electrică = permitivitatea x intensitatea câmpului electric </t>
  </si>
  <si>
    <t xml:space="preserve">inducţia electrică = intensitatea câmpului electric/ permitivitate </t>
  </si>
  <si>
    <t xml:space="preserve">inducţia electrică=sarcina x intensitatea câmpului electric </t>
  </si>
  <si>
    <t>Utilizarea unei cuple cu functiuni multiple se prefera atunci cand dorim</t>
  </si>
  <si>
    <t>scurtarea duratei manevrelor</t>
  </si>
  <si>
    <t>cresterea continuitatii  in alimentare</t>
  </si>
  <si>
    <t>reducerea investitiei in echiparea statiei.</t>
  </si>
  <si>
    <r>
      <t xml:space="preserve">Care este energia consumata de o rezistenta electrica r = 10 </t>
    </r>
    <r>
      <rPr>
        <sz val="11"/>
        <rFont val="Calibri"/>
        <family val="2"/>
      </rPr>
      <t>Ω</t>
    </r>
    <r>
      <rPr>
        <sz val="11"/>
        <rFont val="Times New Roman"/>
        <family val="1"/>
        <charset val="238"/>
      </rPr>
      <t>, prin care trece un curent de 2 A timp de 10 ore:</t>
    </r>
  </si>
  <si>
    <t>200 Wh</t>
  </si>
  <si>
    <t>400 Wh</t>
  </si>
  <si>
    <t xml:space="preserve"> 800 Wh</t>
  </si>
  <si>
    <t>Ce posibilităţi de limitare a curenţilor de scurtcirciut sunt de preferat pentru schema de mai sus ?</t>
  </si>
  <si>
    <t xml:space="preserve">mărirea reactanţei schemei de alimentare între sursă şi locul de defect; </t>
  </si>
  <si>
    <t>creşterea capacităţii de rupere a întreruptoarelor.</t>
  </si>
  <si>
    <t>Curentul electric alternativ poate fi produs numai prin fenomene:</t>
  </si>
  <si>
    <t>termice</t>
  </si>
  <si>
    <t>chimice</t>
  </si>
  <si>
    <t>Scheme cu un sistem de bare colectoare şi un întreruptor pe circuit sunt folosite</t>
  </si>
  <si>
    <t xml:space="preserve"> numai pentru staţii de conexiuni de 6 kV</t>
  </si>
  <si>
    <t>pentru toate treptele de tensiune din reţelele de distribuţie</t>
  </si>
  <si>
    <t xml:space="preserve"> numai pentru staţii de conexiuni de medie tensiune până la 6o kV</t>
  </si>
  <si>
    <t>Celulele prefabricate monobloc se caracterizează în principal prin:</t>
  </si>
  <si>
    <t>securitate ridicată a persoanelor;</t>
  </si>
  <si>
    <t>gamă largă de configuraţii ale schemei de conexiuni;</t>
  </si>
  <si>
    <t>Circulaţia câmpului magnetic pe un contur închis este egală cu:</t>
  </si>
  <si>
    <t>suma algebrică a curenţilor care străbat conturul</t>
  </si>
  <si>
    <t>zero</t>
  </si>
  <si>
    <t>Comparativ cu cele imersate, transformatoarele uscate prezintă :</t>
  </si>
  <si>
    <t>Daca la un circuit al unei staţii de 6 sau 20 kV care funcţionează cu neutrul izolat apare o punere monofazatã netã la pământ, tensiunea fata de pământ a celorlalte doua faze:</t>
  </si>
  <si>
    <t>scade de 1,41 ori</t>
  </si>
  <si>
    <t>rămâne constanta</t>
  </si>
  <si>
    <t>creste de 1,73 ori</t>
  </si>
  <si>
    <t>protecţiei la supratensiuni</t>
  </si>
  <si>
    <t>Compartimentul notat cu 2 pe desenul de mai sus al unei celule prefabricate de medie tensiune de tip închis, reprezintă:</t>
  </si>
  <si>
    <t>compartimentul de legătură cu reţeaua electrică;</t>
  </si>
  <si>
    <t>compartimentul aparatajului de comutaţie;</t>
  </si>
  <si>
    <t>compartimentul circuitelor secundare.</t>
  </si>
  <si>
    <t>Compartimentul notat cu 3 pe desenul de mai sus al unei celule prefabricate de medie tensiune de tip închis, reprezintă:</t>
  </si>
  <si>
    <t>Componenta simetrică directă produce, în cazul unui motor electric:</t>
  </si>
  <si>
    <t>cuplul util</t>
  </si>
  <si>
    <t>cuplul de frânare</t>
  </si>
  <si>
    <t>oscilaţii ale rotorului</t>
  </si>
  <si>
    <t>Conform Legii lui Coulomb, forţa de atracţie sau de repulsie care se exercită între sarcinile electrice este:</t>
  </si>
  <si>
    <t>direct proporţională cu pătratul distanţei</t>
  </si>
  <si>
    <t>invers proporţională cu pătratul distanţei</t>
  </si>
  <si>
    <t>direct proporţională cu distanţa</t>
  </si>
  <si>
    <t>Constanta de timp a unui circuit format dintr-un rezistor de rezistenţă R înseriat cu un condensator de capacitate C, este:</t>
  </si>
  <si>
    <t>RC</t>
  </si>
  <si>
    <t>R/C</t>
  </si>
  <si>
    <t>1/(RC)</t>
  </si>
  <si>
    <t xml:space="preserve">Delimitările prin pereţi între celulele unei staţii electrice de interior se utilizează în principal în scopul: </t>
  </si>
  <si>
    <t>asigurării unui acces mai comod la aparataj;</t>
  </si>
  <si>
    <t>limitării zgomotului în corpul de conexiuni;</t>
  </si>
  <si>
    <t>evitării extinderii avariilor.</t>
  </si>
  <si>
    <t>31,5 A</t>
  </si>
  <si>
    <t>44 A</t>
  </si>
  <si>
    <t>53,4 A</t>
  </si>
  <si>
    <t>cu tensiunea între faze</t>
  </si>
  <si>
    <t>cu puterile reactive generate</t>
  </si>
  <si>
    <t>creste odată cu creşterea frecventei</t>
  </si>
  <si>
    <t>scade odată cu scăderea tensiunii</t>
  </si>
  <si>
    <t>scade odată cu creşterea tensiunii</t>
  </si>
  <si>
    <t>Curentul electric generat prin deplasarea cu viteza v a unui corp încărcat cu o sarcină electrică se numeşte:</t>
  </si>
  <si>
    <t>curent electric de conducţie</t>
  </si>
  <si>
    <t>curent electric de convecţie</t>
  </si>
  <si>
    <t>curent electric de deplasare (Maxwell)</t>
  </si>
  <si>
    <t>Curentul produs într-un circuit care conţine elemente neliniare şi care este alimentat cu o tensiune sinusoidală este:</t>
  </si>
  <si>
    <t>întotdeauna nesinusoidal</t>
  </si>
  <si>
    <t>întotdeauna sinusoidal</t>
  </si>
  <si>
    <t>nesinusoidal sau sinusoidal, depinde de natura elementelor neliniare</t>
  </si>
  <si>
    <t>Curentul rezultat prin aplicarea unei tensiuni nesinusoidale la bornele unei bobine este:</t>
  </si>
  <si>
    <t>mai puţin deformat decât tensiunea care i-a dat naştere</t>
  </si>
  <si>
    <t>mult mai deformat decât tensiunea care i-a dat naştere</t>
  </si>
  <si>
    <t>sinusoidal</t>
  </si>
  <si>
    <t>Curentul rezultat prin aplicarea unei tensiuni nesinusoidale la bornele unui condensator este:</t>
  </si>
  <si>
    <t>mai puţin deformat decât tensiune care i-a dat naştere</t>
  </si>
  <si>
    <t>Dacă două conductoare parcurse de curenţi în acelaşi sens sunt aşezate paralel, unul lângă altul:</t>
  </si>
  <si>
    <t>densitatea de curent creşte în părţile mai depărtate ale conductoarelor</t>
  </si>
  <si>
    <t>densitatea de curent este uniformă pe ambele părţi ale conductoarelor</t>
  </si>
  <si>
    <r>
      <t xml:space="preserve">Energia transmisă de undele electromagnetice cu intensitatea câmpului electric </t>
    </r>
    <r>
      <rPr>
        <u/>
        <sz val="11"/>
        <rFont val="Times New Roman"/>
        <family val="1"/>
      </rPr>
      <t>E</t>
    </r>
    <r>
      <rPr>
        <sz val="11"/>
        <rFont val="Times New Roman"/>
        <family val="1"/>
        <charset val="238"/>
      </rPr>
      <t xml:space="preserve"> şi intensitatea câmpului magnetic </t>
    </r>
    <r>
      <rPr>
        <u/>
        <sz val="11"/>
        <rFont val="Times New Roman"/>
        <family val="1"/>
      </rPr>
      <t>H</t>
    </r>
    <r>
      <rPr>
        <sz val="11"/>
        <rFont val="Times New Roman"/>
        <family val="1"/>
        <charset val="238"/>
      </rPr>
      <t xml:space="preserve"> se propagă după un vector:</t>
    </r>
  </si>
  <si>
    <r>
      <rPr>
        <u/>
        <sz val="11"/>
        <rFont val="Times New Roman"/>
        <family val="1"/>
      </rPr>
      <t>S</t>
    </r>
    <r>
      <rPr>
        <sz val="11"/>
        <rFont val="Times New Roman"/>
        <family val="1"/>
        <charset val="238"/>
      </rPr>
      <t>=</t>
    </r>
    <r>
      <rPr>
        <u/>
        <sz val="11"/>
        <rFont val="Times New Roman"/>
        <family val="1"/>
      </rPr>
      <t>E</t>
    </r>
    <r>
      <rPr>
        <sz val="11"/>
        <rFont val="Times New Roman"/>
        <family val="1"/>
        <charset val="238"/>
      </rPr>
      <t>+</t>
    </r>
    <r>
      <rPr>
        <u/>
        <sz val="11"/>
        <rFont val="Times New Roman"/>
        <family val="1"/>
      </rPr>
      <t>H</t>
    </r>
  </si>
  <si>
    <r>
      <rPr>
        <u/>
        <sz val="11"/>
        <rFont val="Times New Roman"/>
        <family val="1"/>
      </rPr>
      <t>S</t>
    </r>
    <r>
      <rPr>
        <sz val="11"/>
        <rFont val="Times New Roman"/>
        <family val="1"/>
        <charset val="238"/>
      </rPr>
      <t>=</t>
    </r>
    <r>
      <rPr>
        <u/>
        <sz val="11"/>
        <rFont val="Times New Roman"/>
        <family val="1"/>
      </rPr>
      <t>H</t>
    </r>
    <r>
      <rPr>
        <sz val="11"/>
        <rFont val="Times New Roman"/>
        <family val="1"/>
        <charset val="238"/>
      </rPr>
      <t>x</t>
    </r>
    <r>
      <rPr>
        <u/>
        <sz val="11"/>
        <rFont val="Times New Roman"/>
        <family val="1"/>
      </rPr>
      <t>E</t>
    </r>
  </si>
  <si>
    <t>un curent - (minus) I</t>
  </si>
  <si>
    <t>un curent I</t>
  </si>
  <si>
    <t>un curent I/2</t>
  </si>
  <si>
    <t>Dacă printr-un condensator circulă un curent alternativ sinusoidal, la bornele sale se produce o cădere de tensiune:</t>
  </si>
  <si>
    <t>defazată cu 90 de grade în urma curentului</t>
  </si>
  <si>
    <t>defazată cu 90 de grade înaintea curentului</t>
  </si>
  <si>
    <t>în fază cu curentul</t>
  </si>
  <si>
    <t>Funcţionarea în doua faze a unui transformator trifazat are ca efect:</t>
  </si>
  <si>
    <t>supraîncălzirea acestuia</t>
  </si>
  <si>
    <t>suprasarcina</t>
  </si>
  <si>
    <t>reducerea puterii tranzitate</t>
  </si>
  <si>
    <t>Descărcătoarele cu oxid de zinc protejează echipamentele din reţele împotriva:</t>
  </si>
  <si>
    <t>supratensiunilor</t>
  </si>
  <si>
    <t>supracurenţilor</t>
  </si>
  <si>
    <t>solicitărilor mecanice</t>
  </si>
  <si>
    <t>Descărcătoarele cu oxizi de zinc sunt echipamente destinate:</t>
  </si>
  <si>
    <t>protecţiei personalului de exploatare împotriva electrocutării</t>
  </si>
  <si>
    <t>protecţiei împotriva supratensiunilor</t>
  </si>
  <si>
    <t>protecţiei împotriva supracurenţilor</t>
  </si>
  <si>
    <t>Diferenţa de potenţial la bornele a n baterii de condensatoare montate în serie este egală cu:</t>
  </si>
  <si>
    <t xml:space="preserve"> suma diferenţelor de potenţial la bornele fiecărui condensator </t>
  </si>
  <si>
    <t xml:space="preserve">diferenţa de potenţial la bornele fiecărui condensator în parte </t>
  </si>
  <si>
    <t>diferenţa de potenţial a unui condensator împărţită la n</t>
  </si>
  <si>
    <t>Două funcţii periodice sinusoidale sunt armonice între ele dacă:</t>
  </si>
  <si>
    <t>raportul perioadelor lor este un număr întreg oarecare</t>
  </si>
  <si>
    <t>au aceeaşi perioadă</t>
  </si>
  <si>
    <t>raportul perioadelor lor este egal cu 1/2</t>
  </si>
  <si>
    <t>Două sisteme de fazori trifazaţi oarecare, care au vârfuri comune şi origini diferite care se descompun în componente simetrice:</t>
  </si>
  <si>
    <t>În cazul conexiunii în stea la transformator:</t>
  </si>
  <si>
    <t>tensiunea de linie este egala cu tensiunea de faza</t>
  </si>
  <si>
    <t>curentul de linie este egal cu ~1,73 x curentul de faza</t>
  </si>
  <si>
    <t>tensiunea de linie este egala cu ~1,73 x tensiunea de faza</t>
  </si>
  <si>
    <t>încălzirea materialelor prin inducţie</t>
  </si>
  <si>
    <t>eliminarea dezechilibrelor din reţeaua electrică</t>
  </si>
  <si>
    <t>eliminarea distorsiunilor undelor de curent</t>
  </si>
  <si>
    <t>capacităţii conductorului faţă de pământ</t>
  </si>
  <si>
    <t>Energia electrica reactiva:</t>
  </si>
  <si>
    <t xml:space="preserve"> este o energie electrica complementara, care serveşte la magnetizarea bobinajelor</t>
  </si>
  <si>
    <t xml:space="preserve"> se poate transforma în energie mecanica</t>
  </si>
  <si>
    <t xml:space="preserve"> se poate transforma în energie luminoasa</t>
  </si>
  <si>
    <t>1/2 L i</t>
  </si>
  <si>
    <t xml:space="preserve"> Li</t>
  </si>
  <si>
    <t>Energia electrostatică a unui conductor izolat în spaţiu, încărcat cu o sarcină q şi aflat la un potenţial V este egală cu:</t>
  </si>
  <si>
    <t xml:space="preserve">1/2 q V </t>
  </si>
  <si>
    <t xml:space="preserve">q V </t>
  </si>
  <si>
    <t xml:space="preserve"> 2 q V </t>
  </si>
  <si>
    <t>În cazul producerii unui scurtcircuit într-o instalaţie, are loc următorul fenomen:</t>
  </si>
  <si>
    <t xml:space="preserve"> creste tensiunea de alimentare a instalaţiei</t>
  </si>
  <si>
    <t xml:space="preserve"> creste impedanţa echivalenta a instalaţiei</t>
  </si>
  <si>
    <t xml:space="preserve"> creste curentul de alimentare a instalaţiei</t>
  </si>
  <si>
    <t>legea conservării sarcinii electrice</t>
  </si>
  <si>
    <t>legea lui Coulomb</t>
  </si>
  <si>
    <t xml:space="preserve"> legea lui Laplace</t>
  </si>
  <si>
    <t>Prima lege a lui Kirchhoff</t>
  </si>
  <si>
    <t>a doua lege a lui Kirchhoff</t>
  </si>
  <si>
    <t>Legea Joule -Lenz</t>
  </si>
  <si>
    <t>Expresia B x i x l , unde i este intensitatea curentului care străbate un conductor de lungime l, situat perpendicular pe câmpul de inducţie magnetică de mărime B, reprezintă:</t>
  </si>
  <si>
    <t>o forţă</t>
  </si>
  <si>
    <t xml:space="preserve"> o tensiune</t>
  </si>
  <si>
    <t xml:space="preserve"> o rezistenţă</t>
  </si>
  <si>
    <t>Expresia matematica a legii lui Ohm pentru o porţiune de circuit este:</t>
  </si>
  <si>
    <t xml:space="preserve"> I = U / R</t>
  </si>
  <si>
    <t xml:space="preserve"> I = UxR</t>
  </si>
  <si>
    <t xml:space="preserve"> I = U - R</t>
  </si>
  <si>
    <t>Extinderea domeniului de măsurare la ampermetre se realizează cu:</t>
  </si>
  <si>
    <t>rezistente adiţionale</t>
  </si>
  <si>
    <t>shunturi</t>
  </si>
  <si>
    <t>bobine înseriate</t>
  </si>
  <si>
    <t>Extinderea domeniului de măsurare la voltmetre se realizează cu:</t>
  </si>
  <si>
    <t>R/L</t>
  </si>
  <si>
    <t>L/R</t>
  </si>
  <si>
    <t xml:space="preserve"> valoarea numerică 2q</t>
  </si>
  <si>
    <t>valoarea numerică q</t>
  </si>
  <si>
    <t>valoarea numerică q/2</t>
  </si>
  <si>
    <t>Folosirea conductoarelor jumelate în construcţia LEA are ca scop principal:</t>
  </si>
  <si>
    <t>reducerea pierderilor Corona</t>
  </si>
  <si>
    <t>reducerea solicitărilor mecanice ale stâlpilor</t>
  </si>
  <si>
    <t>reducerea curenţilor de scurtcircuit</t>
  </si>
  <si>
    <t>Formula de calcul a frecventei produsa în sistemul electroenergetic de un generator cu n [rot/min] si p perechi de poli este:</t>
  </si>
  <si>
    <t xml:space="preserve"> f =n p / 60</t>
  </si>
  <si>
    <t xml:space="preserve"> f = 60 n / p</t>
  </si>
  <si>
    <t xml:space="preserve"> f = 60 p / n</t>
  </si>
  <si>
    <t>teoremelor Biot-Savart</t>
  </si>
  <si>
    <t>legii inducţiei electromagnetice</t>
  </si>
  <si>
    <t>legii circuitului magnetic</t>
  </si>
  <si>
    <t>Forţa care se exercită asupra unui conductor rectiliniu, parcurs de curentul i, aflat în câmpul de inducţie magnetică B se numeşte:</t>
  </si>
  <si>
    <t>forţă electromagnetică (Laplace)</t>
  </si>
  <si>
    <t>forţă electrodinamică</t>
  </si>
  <si>
    <t>forţă magnetomotoare</t>
  </si>
  <si>
    <t>Forţa care se exercită între două conductoare străbătute de curenţi electrici se numeşte:</t>
  </si>
  <si>
    <t>forţă electrocinetică</t>
  </si>
  <si>
    <t>direct proporţională cu variaţia în timp a fluxului magnetic</t>
  </si>
  <si>
    <t>invers proporţională cu variaţia în timp a fluxului magnetic</t>
  </si>
  <si>
    <t>dependentă de modul în care este produs fluxul magnetic</t>
  </si>
  <si>
    <t>Forţa electrodinamică exercitată între două conductoare filiforme, paralele, lungi, aflate la distanţa r, străbătute de câte un curent:</t>
  </si>
  <si>
    <t xml:space="preserve"> este direct proporţională cu distanţa r dintre conductoare</t>
  </si>
  <si>
    <t>este invers proporţională cu distanţa r dintre conductoare</t>
  </si>
  <si>
    <t>Forţa F care se exercită asupra unei sarcini electrice q aflată într-un câmp electric de intensitate E are expresia:</t>
  </si>
  <si>
    <t>F=E/q</t>
  </si>
  <si>
    <t>F=qE</t>
  </si>
  <si>
    <t>F=q/E</t>
  </si>
  <si>
    <t>Frecvenţa unei mărimi periodice este inversul:</t>
  </si>
  <si>
    <t>amplitudinii</t>
  </si>
  <si>
    <t>perioadei</t>
  </si>
  <si>
    <t>fazei</t>
  </si>
  <si>
    <t>Funcţionarea contoarelor de inducţie are la baza:</t>
  </si>
  <si>
    <t>curenţii turbionari</t>
  </si>
  <si>
    <t>efectul termic al curentului electric</t>
  </si>
  <si>
    <t>forţa electrostatica</t>
  </si>
  <si>
    <t>În instalaţiile de joasa tensiune, legarea la pământ este justificatã:</t>
  </si>
  <si>
    <t>din motive economice</t>
  </si>
  <si>
    <t>pentru diminuarea suprasolicitărilor echipamentelor electrice</t>
  </si>
  <si>
    <t>pentru securitatea muncii</t>
  </si>
  <si>
    <t>Funcţionarea în suprasarcinã a unui transformator reprezintă:</t>
  </si>
  <si>
    <t>un regim de avarie</t>
  </si>
  <si>
    <t>un regim temporar admisibil</t>
  </si>
  <si>
    <t>un regim inadmisibil</t>
  </si>
  <si>
    <t>Funcţionarea transformatoarelor electrice are la bazã:</t>
  </si>
  <si>
    <t>fenomenul inducţiei electromagnetice</t>
  </si>
  <si>
    <t>Henry este unitatea de măsură pentru:</t>
  </si>
  <si>
    <t>fluxul magnetic</t>
  </si>
  <si>
    <t>inductanţă</t>
  </si>
  <si>
    <t>Împărţirea fiecărei faze a unei instalaţii capsulate într-un anumit număr de compartimente atrage după sine:</t>
  </si>
  <si>
    <t>limitarea posibilităţilor de producere a unui defect în instalaţie;</t>
  </si>
  <si>
    <t xml:space="preserve">mărirea riscului de producere a unor scăpări de gaz; </t>
  </si>
  <si>
    <t xml:space="preserve">mărirea cantităţilor de gaz ce trebuie manipulate în cazul intervenţiei la un compartiment. </t>
  </si>
  <si>
    <t xml:space="preserve">localizarea unor eventuale scăpări de gaz, precum şi a unor defecte interne, </t>
  </si>
  <si>
    <t>mărirea cantităţilor de gaz ce trebuie manipulate în cazul intervenţiei la un compartiment</t>
  </si>
  <si>
    <t>În cazul apariţiei fenomenului de rezonanţă într-un circuit de curent alternativ, alimentat de la o sursă, aceasta furnizează circuitului:</t>
  </si>
  <si>
    <t>numai energie activă</t>
  </si>
  <si>
    <t>energie activă şi reactivă</t>
  </si>
  <si>
    <t>numai energie reactivă</t>
  </si>
  <si>
    <t>În cazul circuitelor de curent alternativ, teoremele lui Kirchhoff sunt întotdeauna satisfăcute pentru:</t>
  </si>
  <si>
    <t>valorile instantanee ale tensiunilor şi curenţilor</t>
  </si>
  <si>
    <t>valorile efective ale tensiunilor şi curenţilor</t>
  </si>
  <si>
    <t>modulele fazorilor asociaţi tensiunilor şi curenţilor</t>
  </si>
  <si>
    <t>În posturi de transformare se folosesc transformatoare răcite cu lichide neinflamabile atunci când:</t>
  </si>
  <si>
    <t>sunt restricţii de poluare a mediului;</t>
  </si>
  <si>
    <t>sunt restricţii de toxicitate pentru personalul de exploatare;</t>
  </si>
  <si>
    <t>amplasarea postului se face în zone aglomerate.</t>
  </si>
  <si>
    <t>În cazul în care echiparea circuitelor electrice de alimentare a motoarelor electrice se face cu siguranţă fuzibilă şi contactor cu relee termice:</t>
  </si>
  <si>
    <t>siguranţa fuzibilă realizează protecţia la suprasarcină;</t>
  </si>
  <si>
    <t>siguranţa fuzibilă realizează protecţia la scurtcircuit;</t>
  </si>
  <si>
    <t>siguranţa fuzibilă realizează protecţia la supratensiuni;</t>
  </si>
  <si>
    <t>releele termice realizează protecţia la suprasarcină;</t>
  </si>
  <si>
    <t>releele termice realizează protecţia la scurtcircuit;</t>
  </si>
  <si>
    <t>releele termice realizează protecţia la supratensiuni;</t>
  </si>
  <si>
    <t>În cazul în care rezultanta unui sistem de fazori (de tensiune sau de curent) este nulă:</t>
  </si>
  <si>
    <t>În cazul pornirii stea triunghi a motoarelor asincrone, curentul de pornire la conexiunea stea este:</t>
  </si>
  <si>
    <t>1/3 din curentul de pornire la conexiunea triunghi</t>
  </si>
  <si>
    <t>de 3 ori curentul de pornire la conexiunea triunghi</t>
  </si>
  <si>
    <t>de 2 ori curentul de pornire la conexiunea triunghi</t>
  </si>
  <si>
    <t>În posturi de transformare se preferă folosirea transformatoarelor răcite cu aer atunci când:</t>
  </si>
  <si>
    <t>sunt restricţii de teren;</t>
  </si>
  <si>
    <t>sunt restricţii privitoare la zgomot;</t>
  </si>
  <si>
    <t>tensiunea pe fazele R si T rămâne neschimbata , iar tensiunea fazei defecte S se apropie de 0</t>
  </si>
  <si>
    <t>tensiunea pe fazele R si T creste la valoarea tensiunii de linie iar pe faza S se apropie de 0</t>
  </si>
  <si>
    <t>cresc tensiunile pe fazele R si T, iar pe faza defecta S rămâne neschimbata</t>
  </si>
  <si>
    <t>În cazul scăderii sau întreruperii tensiunii de alimentare, motoarele asincrone se pot opri, iar la restabilirea tensiunii:</t>
  </si>
  <si>
    <t>ele autopornesc, indiferent de tipul constructiv al rotorului în scurtcircuit</t>
  </si>
  <si>
    <t>pentru a reporni necesită dispozitiv de pornire</t>
  </si>
  <si>
    <t>ele autopornesc numai dacă au rotor în dublă colivie</t>
  </si>
  <si>
    <t xml:space="preserve">În cazul schemelor cu două sisteme de bare colectoare şi un întreruptor pe circuit, funcţionarea cu ambele sisteme de bare sub tensiune este avantajoasă deoarece permite: </t>
  </si>
  <si>
    <t>scurtarea duratei manevrelor în caz de ocolire a unui întreruptor;</t>
  </si>
  <si>
    <t xml:space="preserve">micşorarea daunelor de nealimentare a consumatorilor în caz de scurtcircuit pe unul dintre sistemele de bare; </t>
  </si>
  <si>
    <t xml:space="preserve">scurtarea duratei manevrelor în caz de revizie a unuia dintre sistemele de bare colectoare. </t>
  </si>
  <si>
    <t>În cazul unei scheme cu două bare colectoare şi un întreruptor pe circuit este de preferat ca în regim normal de funcţionare:</t>
  </si>
  <si>
    <t>una dintre barele colectoare să fie sub tensiune, cealaltă bară fiind menţinută în rezervă rece;</t>
  </si>
  <si>
    <t>ambele bare colectoare să fie sub tensiune, cupla transversală fiind menţinută în funcţiune;</t>
  </si>
  <si>
    <t>ambele bare colectoare să fie menţinute sub tensiune, cupla transversală fiind în rezervă caldă.</t>
  </si>
  <si>
    <t>În cazul unei staţii cu un sistem de bare colectoare secţionat longitudinal şi prevăzut cu o cuplă longitudinală cu întreruptor şi AAR, cupla se menţine:</t>
  </si>
  <si>
    <t>în rezervă caldă;</t>
  </si>
  <si>
    <t>în rezervă rece;</t>
  </si>
  <si>
    <t>În funcţiune</t>
  </si>
  <si>
    <t>stinge arcul electric care apare in întrerupătoare</t>
  </si>
  <si>
    <t>asigura ungerea mecanismelor de acţionare</t>
  </si>
  <si>
    <t>Într-o schemă cu 1,5 întreruptoare pe circuit:</t>
  </si>
  <si>
    <t>este necesară o cuplă de ocolire;</t>
  </si>
  <si>
    <t>este necesară o cuplă transversală;</t>
  </si>
  <si>
    <t>nu sunt necesare circuite de cuplă transversală şi de ocolire</t>
  </si>
  <si>
    <t>Într-o schemă de conexiuni bara şi cupla de ocolire servesc la:</t>
  </si>
  <si>
    <t>scoaterea în revizie a unui întreruptor, cu două scurte întreruperi;</t>
  </si>
  <si>
    <t>scoaterea în revizie a unei bare colectoare;</t>
  </si>
  <si>
    <t>scoaterea în revizie a unui întreruptor, fără întreruperea alimentării pe circuitul respectiv.</t>
  </si>
  <si>
    <t>În posturi de transformare se folosesc transformatoare uscate atunci când:</t>
  </si>
  <si>
    <t>amplasarea postului se face în zone aglomerate;</t>
  </si>
  <si>
    <t>nu sunt restricţii de teren;</t>
  </si>
  <si>
    <t>nu este posibilă asigurarea unei răciri corespunzătoare a bobinajelor.</t>
  </si>
  <si>
    <t>Într-o schemă poligon cu patru laturi:</t>
  </si>
  <si>
    <t>nu este necesară o cuplă transversală.</t>
  </si>
  <si>
    <t>În sens general, actualizarea unui fond reprezintă:</t>
  </si>
  <si>
    <t>calculul valorii acestui fond la un anumit an ales ca referinţă;</t>
  </si>
  <si>
    <t>calculul valorii acestui fond la N ani înainte de PIF;</t>
  </si>
  <si>
    <t>calculul valorii acestui fond la N ani după PIF.</t>
  </si>
  <si>
    <t xml:space="preserve">Circuitul din figură                                           reprezinta
</t>
  </si>
  <si>
    <t>o cupla cu functiuni multiple intr-o statie cu doua sisteme de bare colectoare</t>
  </si>
  <si>
    <t>un circuit de linie dintr-o statie cu doua sisteme de bare colectoare</t>
  </si>
  <si>
    <t>un circuit de linie dintr-o statie cu un sistem de bare colectoare si bare de ocolire.</t>
  </si>
  <si>
    <t xml:space="preserve">Scopul supraînaltarii echipamentelor electrice din instalatii electrice exterioare este asigurarea
</t>
  </si>
  <si>
    <t>accesului mai comod în instalatie</t>
  </si>
  <si>
    <t>esteticii si claritatii instalatiei</t>
  </si>
  <si>
    <t>securitatii personalului de exploatare</t>
  </si>
  <si>
    <t>de a menţine temperatura constanta a siguranţei</t>
  </si>
  <si>
    <r>
      <t xml:space="preserve">Inductanţa de serviciu </t>
    </r>
    <r>
      <rPr>
        <sz val="11"/>
        <rFont val="Times New Roman"/>
        <family val="1"/>
      </rPr>
      <t>( lineică)</t>
    </r>
    <r>
      <rPr>
        <sz val="11"/>
        <rFont val="Times New Roman"/>
        <family val="1"/>
        <charset val="238"/>
      </rPr>
      <t xml:space="preserve"> a unei linii electrice lungi este definită prin:</t>
    </r>
  </si>
  <si>
    <t>pierderile Joule disipate într-un element de linie infinit mic</t>
  </si>
  <si>
    <t>Inductanţa proprie a unei bobine prin care trece un curent de intensitate i este raportul între ....... şi acest curent</t>
  </si>
  <si>
    <t>fluxul propriu al bobinei</t>
  </si>
  <si>
    <t>forţa electromotoare</t>
  </si>
  <si>
    <t>raportul dintre tensiunea aplicata unui conductor si rezistenta acestuia</t>
  </si>
  <si>
    <t>Intensitatea câmpului magnetic într-un punct exterior unui conductor rectiliniu străbătut de curentul continuu de intensitate i, aflat la distanţă r de conductor este:</t>
  </si>
  <si>
    <t>invers proporţională cu r</t>
  </si>
  <si>
    <t>direct proporţională cu pătratul lui r</t>
  </si>
  <si>
    <t>direct proporţională cu r</t>
  </si>
  <si>
    <t>Într-o reţea cu neutrul legat la pământ, valoarea cea mai mare a intensităţii curentului de scurtcircuit, pentru acelaşi punct de defect, corespunde, de regulã, defectului:</t>
  </si>
  <si>
    <t xml:space="preserve"> monofazat</t>
  </si>
  <si>
    <t xml:space="preserve"> trifazat</t>
  </si>
  <si>
    <t>bifazat</t>
  </si>
  <si>
    <t>curentul creste instantaneu la valoarea U/R</t>
  </si>
  <si>
    <t>curentul nu circula prin acest circuit</t>
  </si>
  <si>
    <t>curentul ajunge la valoarea U/R după un timp</t>
  </si>
  <si>
    <t>Într-un circuit R-L serie de curent alternativ, tensiunea la bornele rezistorului este de 100 V, iar tensiunea la bornele bobinei este de 70 V. Tensiunea la bornele circuitului R-L este:</t>
  </si>
  <si>
    <t xml:space="preserve"> 170V</t>
  </si>
  <si>
    <t xml:space="preserve"> 30 V</t>
  </si>
  <si>
    <t xml:space="preserve"> 122 V</t>
  </si>
  <si>
    <t>Într-o schemă electrică având un sistem de bare colectoare, separatorul asigură:</t>
  </si>
  <si>
    <t>deconectarea unor curenţi de suprasarcină;</t>
  </si>
  <si>
    <t xml:space="preserve">izolarea unei părţi din instalaţie de altă parte a instalaţiei aflată sub tensiune; </t>
  </si>
  <si>
    <t>comutaţia curentului în regim normal de funcţionare.</t>
  </si>
  <si>
    <t>Într-un conductor curentul alternativ are densitatea:</t>
  </si>
  <si>
    <t>uniforma</t>
  </si>
  <si>
    <t>mai mare în centrul conductorului</t>
  </si>
  <si>
    <t>mai mare la periferia conductorului</t>
  </si>
  <si>
    <t>Într-o staţie cu două sisteme de bare colectoare, cupla transversală:</t>
  </si>
  <si>
    <t>se poate utiliza pentru cuplarea în paralel a celor două sisteme de bare colectoare care sunt sub tensiune;</t>
  </si>
  <si>
    <t>nu se poate utiliza pentru ocolirea unui întreruptor de linie pe durata unei revizii sau reparaţii;</t>
  </si>
  <si>
    <t xml:space="preserve">se poate utiliza pentru verificarea stării izolaţiei unui sistem de bare colectoare, care până în momentul respectiv a fost scos de sub tensiune.  </t>
  </si>
  <si>
    <t>nu se poate utiliza pentru cuplarea în paralel a celor două sisteme de bare colectoare care sunt sub tensiune;</t>
  </si>
  <si>
    <t>se poate utiliza pentru ocolirea unui întreruptor de linie pe durata unei revizii sau reparaţii;</t>
  </si>
  <si>
    <t xml:space="preserve">nu se poate utiliza pentru verificarea stării izolaţiei unui sistem de bare colectoare, care până în momentul respectiv a fost scos de sub tensiune.  </t>
  </si>
  <si>
    <t>Într-un circuit de curent alternativ în care puterea activa absorbita este 4 kW iar puterea reactiva este de 3 kVAr, factorul de putere este:</t>
  </si>
  <si>
    <t>0,8</t>
  </si>
  <si>
    <t>0,75</t>
  </si>
  <si>
    <t>4/3</t>
  </si>
  <si>
    <t>Într-un circuit electric monofazat cu caracter inductiv tensiunea este defazata fata de curent:</t>
  </si>
  <si>
    <t xml:space="preserve"> înainte cu 90 de grade</t>
  </si>
  <si>
    <t xml:space="preserve"> cu zero grade (sunt în faza)</t>
  </si>
  <si>
    <t xml:space="preserve"> cu 90 de grade în urma</t>
  </si>
  <si>
    <t>La conectarea unui circuit de linie se recomandă următoarea  ordine a manevrelor:</t>
  </si>
  <si>
    <t>separatorul de linie, separatorul de bare, întreruptorul;</t>
  </si>
  <si>
    <t>separatorul de bare, întreruptorul, separatorul de linie;</t>
  </si>
  <si>
    <t>separatorul de bare, separatorul de linie, întreruptorul .</t>
  </si>
  <si>
    <t>Într-un circuit rezistiv, având rezistenta R=5 ohm si la bornele căruia se aplica o tensiune de 100 V, curentul este de:</t>
  </si>
  <si>
    <t>20 A</t>
  </si>
  <si>
    <t xml:space="preserve"> 500 A</t>
  </si>
  <si>
    <t xml:space="preserve"> 95 A</t>
  </si>
  <si>
    <t>La deconectarea unui circuit de linie se recomandă următoarea  ordine a manevrelor:</t>
  </si>
  <si>
    <t>separatorul de linie, întreruptorul, separatorul de bare;</t>
  </si>
  <si>
    <t>întreruptorul, separatorul de  linie, separatorul de bare.</t>
  </si>
  <si>
    <t>Într-un circuit serie format dintr-un rezistor de rezistenţă R, o bobină de inductanţă L şi un condensator de capacitate C, curentul din circuit este defazat în urma tensiunii la borne dacă:</t>
  </si>
  <si>
    <t>reactanţa totală a circuitului X este &gt; 0</t>
  </si>
  <si>
    <t>reactanţa totală a circuitului            X este &lt;0</t>
  </si>
  <si>
    <t xml:space="preserve">reactanţa totală a circuitului este =0 </t>
  </si>
  <si>
    <t>La generatorul sincron viteza de rotaţie a câmpului magnetic al statorului fata de viteza de rotaţie a rotorului maşinii este:</t>
  </si>
  <si>
    <t>mai mare</t>
  </si>
  <si>
    <t>mai mica</t>
  </si>
  <si>
    <t>egala</t>
  </si>
  <si>
    <t>Intr-un tor (solenoid de formă circulară bobinat), energia magnetică produsă de un curent care străbate bobinajul torului este localizată:</t>
  </si>
  <si>
    <t>integral în câmpul magnetic din volumul torului</t>
  </si>
  <si>
    <t>integral în câmpul magnetic din afara torului</t>
  </si>
  <si>
    <t>1/2 din energie este înmagazinată în volumul torului, iar 1/2 în afara torului</t>
  </si>
  <si>
    <t>Inversa rezistenţei echivalente a n rezistoare legate în paralel este egală cu:</t>
  </si>
  <si>
    <t>suma rezistenţelor celor n rezistoare</t>
  </si>
  <si>
    <t>suma inverselor rezistenţelor celor n rezistoare</t>
  </si>
  <si>
    <t>suma pătratelor rezistenţelor celor n rezistoare</t>
  </si>
  <si>
    <t>La maşina sincrona turaţia variază în funcţie de sarcina astfel:</t>
  </si>
  <si>
    <t>creste când sarcina creste</t>
  </si>
  <si>
    <t>scade când sarcina scade</t>
  </si>
  <si>
    <t>rămâne constanta la variaţia sarcinii</t>
  </si>
  <si>
    <t>separatorul de bare, separatorul de linie, întreruptorul;</t>
  </si>
  <si>
    <t>întreruptorul, separatorul de linie, separatorul de bare.</t>
  </si>
  <si>
    <t>întreruptorul, separatorul de linie, separatorul de bare;</t>
  </si>
  <si>
    <t>întreruptorul, separatorul de bare, separatorul de linie.</t>
  </si>
  <si>
    <t>tensiunea de linie</t>
  </si>
  <si>
    <t>tensiunea de faza</t>
  </si>
  <si>
    <t>tensiunea zero</t>
  </si>
  <si>
    <t>La funcţionarea în gol a unei linii electrice tensiunea la capăt:</t>
  </si>
  <si>
    <t>creşte faţă de tensiunea la sursă proporţional cu pătratul lungimii liniei</t>
  </si>
  <si>
    <t>scade faţă de tensiunea la sursă proporţional cu lungimea liniei</t>
  </si>
  <si>
    <t>nu se modifică</t>
  </si>
  <si>
    <t>Legea lui Ohm pentru o porţiune de circuit este valabila:</t>
  </si>
  <si>
    <t>doar în curent continuu</t>
  </si>
  <si>
    <t>doar în curent alternativ</t>
  </si>
  <si>
    <t>indiferent de natura circuitului</t>
  </si>
  <si>
    <t xml:space="preserve"> numai circuitelor liniare</t>
  </si>
  <si>
    <t>numai circuitelor cu elemente neliniare</t>
  </si>
  <si>
    <t xml:space="preserve">circuitelor liniare şi circuitelor neliniare </t>
  </si>
  <si>
    <t>La o instalaţie cu mai multe condensatoare conectate în serie, căderea de tensiune pe fiecare condensator este:</t>
  </si>
  <si>
    <t xml:space="preserve"> direct proporţionala cu capacitatea</t>
  </si>
  <si>
    <t xml:space="preserve"> invers proporţionala cu capacitatea</t>
  </si>
  <si>
    <t xml:space="preserve"> nu depinde de capacitate</t>
  </si>
  <si>
    <t>La o maşina electrica asincrona turaţia variază:</t>
  </si>
  <si>
    <t xml:space="preserve"> cu curentul de excitaţie</t>
  </si>
  <si>
    <t>cu frecventa</t>
  </si>
  <si>
    <t>La pornirea motoarelor electrice asincrone se urmăreşte:</t>
  </si>
  <si>
    <t>reducerea vibraţiilor rotorului</t>
  </si>
  <si>
    <t>reducerea curentului electric absorbit de motor</t>
  </si>
  <si>
    <t>reducerea tensiunii la bornele de alimentare ale motorului</t>
  </si>
  <si>
    <t>La transformatoarele la care comutarea ploturilor se face cu transformatorul în sarcina, comutatorul de ploturi se montează:</t>
  </si>
  <si>
    <t>pe înfăşurarea de tensiune mai mica, deoarece tensiunea este mai mica</t>
  </si>
  <si>
    <t>pe înfăşurarea de tensiune mai mare, deoarece curentul este mai mic</t>
  </si>
  <si>
    <t>pe oricare dintre înfăşurări</t>
  </si>
  <si>
    <t>Materialele feromagnetice au permeabilitatea relativa:</t>
  </si>
  <si>
    <t>mai mica decât 1</t>
  </si>
  <si>
    <t>puţin mai mare decât 1</t>
  </si>
  <si>
    <t>mult mai mare decât 1</t>
  </si>
  <si>
    <t>u = R i</t>
  </si>
  <si>
    <t>u= L di/dt</t>
  </si>
  <si>
    <t>Legea lui Coulomb exprimã:</t>
  </si>
  <si>
    <t>forţa de interacţiune dintre corpuri punctuale încărcate cu sarcini electrice</t>
  </si>
  <si>
    <t>fluxul electric printr-o suprafaţa sferica</t>
  </si>
  <si>
    <t>diferenţa de potenţial între doua puncte</t>
  </si>
  <si>
    <t>O reţea electricã trifazatã de medie tensiune are neutrul transformatoarelor tratat prin bobina. Pentru regimul normal de funcţionare sa se precizeze efectul bobinei:</t>
  </si>
  <si>
    <t>deplasarea neutrului</t>
  </si>
  <si>
    <t>creşterea curenţilor de scurtcircuit</t>
  </si>
  <si>
    <t>nici un efect</t>
  </si>
  <si>
    <t>O siguranţa mai mare în alimentarea consumatorilor de energie electrica se realizează prin:</t>
  </si>
  <si>
    <t>reţele radiale</t>
  </si>
  <si>
    <t xml:space="preserve"> reţele buclate cu funcţionare radialã</t>
  </si>
  <si>
    <t>reţele buclate</t>
  </si>
  <si>
    <t>Mărimea adimensională care reprezintă variaţia pe care o suferă amplitudinea şi faza undei de tensiune sau curent când parcurge 1 km de linie (lungă ) se numeşte:</t>
  </si>
  <si>
    <t>constanta de propagare a liniei</t>
  </si>
  <si>
    <t>constanta de atenuare a liniei</t>
  </si>
  <si>
    <t>constanta de distorsiune a liniei</t>
  </si>
  <si>
    <t>Mărimea caracteristică circuitelor magnetice şi care este analoagă cu rezistenţa circuitelor electrice se numeşte:</t>
  </si>
  <si>
    <t>impedanţă</t>
  </si>
  <si>
    <t>reluctanţă</t>
  </si>
  <si>
    <t>permeanţă</t>
  </si>
  <si>
    <t>Mărimea periodică alternativă este o mărime a cărei valoare medie în decursul unei perioade este egală cu:</t>
  </si>
  <si>
    <t>1,5</t>
  </si>
  <si>
    <t>Mărirea cuplului de pornire şi micşorarea curentului de pornire la motoarele asincrone cu rotorul în scurtcircuit se face:</t>
  </si>
  <si>
    <t>prin deconectarea şi reconectarea lor la reţeaua de alimentare</t>
  </si>
  <si>
    <t>prin utilizarea motoarelor cu rotorul în colivie cu bare înalte</t>
  </si>
  <si>
    <t>Pe liniile electrice de înaltă tensiune, unde se preferă montarea transformatoarelor de  curent ?:</t>
  </si>
  <si>
    <t>între barele colectoare şi separatorul de bare;</t>
  </si>
  <si>
    <t xml:space="preserve">între separatorul de bare şi întreruptor; </t>
  </si>
  <si>
    <t>între întreruptor şi separatorul de linie.</t>
  </si>
  <si>
    <t>Metoda transfigurării reţelelor electrice este folosita pentru a:</t>
  </si>
  <si>
    <t>reduce pierderile de putere activa în reţea</t>
  </si>
  <si>
    <t>simplifica structura reţelelor echivalente pentru a reduce volumul de calcule</t>
  </si>
  <si>
    <t>diminua consumul specific de material conductor</t>
  </si>
  <si>
    <t>Miezul magnetic al rotorului unei maşini electrice asincrone se realizează din tole pentru:</t>
  </si>
  <si>
    <t>reducerea curenţilor turbionari</t>
  </si>
  <si>
    <t>reducerea tensiunii electromotoare induse</t>
  </si>
  <si>
    <t xml:space="preserve">Montajul fix al aparatelor în interiorul celulelor conduce la: </t>
  </si>
  <si>
    <t>realizări constructive simple, fără blocaje suplimentare;</t>
  </si>
  <si>
    <t>reducerea dimensiunilor celulelor;</t>
  </si>
  <si>
    <t>reducerea timpului necesar reviziilor şi reparaţiilor.</t>
  </si>
  <si>
    <t xml:space="preserve"> încărcarea generatoarelor cu putere activa</t>
  </si>
  <si>
    <t>O linie electrică lungă funcţionând în gol:</t>
  </si>
  <si>
    <t>produce putere reactivă</t>
  </si>
  <si>
    <t>absoarbe putere reactivă</t>
  </si>
  <si>
    <t>nu produce şi nu absoarbe putere reactivă</t>
  </si>
  <si>
    <t>O linie electrică lungă funcţionând în scurtcircuit:</t>
  </si>
  <si>
    <t>O protecţie este selectivă atunci când:</t>
  </si>
  <si>
    <t>deconectează numai consumatorul defect</t>
  </si>
  <si>
    <t>deconectează toţi consumatorii</t>
  </si>
  <si>
    <t>deconectează o jumătate dintre consumatori</t>
  </si>
  <si>
    <r>
      <t>Pe măsură ce creşte tensiunea la care se realizează instalaţiile electrice, costul pierderilor de putere C</t>
    </r>
    <r>
      <rPr>
        <vertAlign val="subscript"/>
        <sz val="11"/>
        <rFont val="Times New Roman"/>
        <family val="1"/>
        <charset val="238"/>
      </rPr>
      <t xml:space="preserve">p </t>
    </r>
    <r>
      <rPr>
        <sz val="11"/>
        <rFont val="Times New Roman"/>
        <family val="1"/>
        <charset val="238"/>
      </rPr>
      <t>este:</t>
    </r>
  </si>
  <si>
    <t>O schemă cu două blocuri linie-transformator cu punte între ele de tip ,, H " inferior este de preferat unei scheme de tip ,, H " superior atunci când:</t>
  </si>
  <si>
    <t>se fac manevre dese cu circuitele de linie;</t>
  </si>
  <si>
    <t>se fac manevre dese cu circuitele de transformator;</t>
  </si>
  <si>
    <t>pe legătura dintre blocuri circulă un curent mic.</t>
  </si>
  <si>
    <t>O schemă cu două blocuri linie-transformator cu punte între ele de tip ,, H " superior este de preferat unei scheme de tip ,, H " inferior atunci când:</t>
  </si>
  <si>
    <t>Pe schema de mai sus sunt aparate în plus ?</t>
  </si>
  <si>
    <t>nu;</t>
  </si>
  <si>
    <t>da, separatorul S1;</t>
  </si>
  <si>
    <t>da, separatorul S2</t>
  </si>
  <si>
    <t>Pentru limitarea curenţilor de scurtcircuit, puterea totalã instalatã într-o staţie trebuie:</t>
  </si>
  <si>
    <t>mărită</t>
  </si>
  <si>
    <t>micşorată</t>
  </si>
  <si>
    <t>divizatã în mai multe unităţi</t>
  </si>
  <si>
    <t>Pentru materialele magnetice, relaţia dintre inducţia magnetică şi intensitatea câmpului magnetic:</t>
  </si>
  <si>
    <t>este liniară</t>
  </si>
  <si>
    <t xml:space="preserve"> este o egalitate</t>
  </si>
  <si>
    <t>este neliniară</t>
  </si>
  <si>
    <t>Pierderea de putere activa într-un element de reţea (transformator, LEA, LEC) , la aceeaşi putere aparentã vehiculatã, este direct proportionalã cu:</t>
  </si>
  <si>
    <t xml:space="preserve"> pătratul frecventei</t>
  </si>
  <si>
    <t xml:space="preserve"> pătratul tensiunii reţelei</t>
  </si>
  <si>
    <t xml:space="preserve"> pătratul curentului</t>
  </si>
  <si>
    <t>da, separatorul S2;</t>
  </si>
  <si>
    <t>da, separatorul S1</t>
  </si>
  <si>
    <t xml:space="preserve">Care dintre urmatoarele enunturi nu este adevarat: 
</t>
  </si>
  <si>
    <t>energia electrica tranzitata printr-un circuit este produsul dintre puterea maxima si timpul de functionare</t>
  </si>
  <si>
    <t>energia electrica tranzitata printr-un circuit este produsul dintre puterea maxima si timpul de utilizare al puterii maxime.</t>
  </si>
  <si>
    <t>Pentru limitarea curenţilor de scurtcircuit se utilizează bobine:</t>
  </si>
  <si>
    <t xml:space="preserve">înseriate pe circuit, monofazate, fără miez de fier, răcite cu aer (uscate), de tip interior; </t>
  </si>
  <si>
    <t>racordate în derivaţie pe circuit, monofazate, fără miez de fier, răcite cu aer (uscate), de tip interior;</t>
  </si>
  <si>
    <t>înseriate pe circuit, monofazate, cu miez de fier, răcite cu ulei, de tip interior;</t>
  </si>
  <si>
    <t>Puterea electrică reactivă:</t>
  </si>
  <si>
    <t>permite definirea limitelor de utilizare ale unui aparat electric</t>
  </si>
  <si>
    <t>produce transformarea energiei electrice în energie mecanică</t>
  </si>
  <si>
    <t xml:space="preserve">este variaţia în timp a energiei magnetice şi electrice </t>
  </si>
  <si>
    <t>Puterea nominala a unui motor electric se defineşte astfel:</t>
  </si>
  <si>
    <t>puterea activã absorbitã de motor de la reţea când este alimentat la Un si absoarbe In</t>
  </si>
  <si>
    <t>puterea activã transmisã prin întrefierul motorului când este alimentat la Un si absoarbe In</t>
  </si>
  <si>
    <t>puterea mecanicã debitatã de motor la arbore când este alimentat la Un si absoarbe In</t>
  </si>
  <si>
    <t>Pentru micşorarea pierderilor de putere prin curenţi turbionari în piesele metalice mari parcurse de fluxuri magnetice variabile:</t>
  </si>
  <si>
    <t>se evită plasarea pieselor metalice masive în câmpuri magnetice variabile</t>
  </si>
  <si>
    <t>se numeşte putere caracteristică sau putere naturală</t>
  </si>
  <si>
    <t>este independentă de tensiunea liniei</t>
  </si>
  <si>
    <t>Pentru o linie electrică care alimentează un receptor ce are impedanţa egală cu impedanţa caracteristică a liniei:</t>
  </si>
  <si>
    <t>energiile reactive, inductivă şi capacitivă, se compensează</t>
  </si>
  <si>
    <t>energia reactivă inductivă este mai mare decât cea capacitivă</t>
  </si>
  <si>
    <t>energia reactivă capacitivă este mai mare decât cea inductivă</t>
  </si>
  <si>
    <t>Pentru o putere aparenta data puterea activa are valoarea maxima:</t>
  </si>
  <si>
    <t xml:space="preserve"> când factorul de putere =1</t>
  </si>
  <si>
    <t xml:space="preserve"> când factorul de putere = 0</t>
  </si>
  <si>
    <t>când U = U max</t>
  </si>
  <si>
    <t>Permeabilitatea este o mărime:</t>
  </si>
  <si>
    <t>magnetică</t>
  </si>
  <si>
    <t xml:space="preserve"> electrică</t>
  </si>
  <si>
    <t>mecanică</t>
  </si>
  <si>
    <t>Permitivitatea este o mărime:</t>
  </si>
  <si>
    <t xml:space="preserve"> magnetică</t>
  </si>
  <si>
    <t>chimică</t>
  </si>
  <si>
    <t>Regulatorul automat de tensiune (RAT) asigurã:</t>
  </si>
  <si>
    <t>deconectarea automatã a liniilor la suprasarcinã</t>
  </si>
  <si>
    <t>conectarea automatã a unui transformator de rezervã</t>
  </si>
  <si>
    <t>modificarea curentului (tensiunii) de excitaţie la generatoarele sincrone</t>
  </si>
  <si>
    <t>Pierderile de putere activã si reactivã pe o linie electricã, la aceeaşi putere aparentã vehiculatã, sunt invers proporţionale cu:</t>
  </si>
  <si>
    <t>pătratul curentului</t>
  </si>
  <si>
    <t>pătratul tensiunii</t>
  </si>
  <si>
    <t>pătratul puterii active</t>
  </si>
  <si>
    <t>mai mici</t>
  </si>
  <si>
    <t>egale</t>
  </si>
  <si>
    <t>mai mari</t>
  </si>
  <si>
    <t>N-1 relaţii distincte</t>
  </si>
  <si>
    <t>N relaţii distincte</t>
  </si>
  <si>
    <t xml:space="preserve"> N+1 relaţii distincte</t>
  </si>
  <si>
    <t>circulaţia de curenţi existentă anterior în reţea nu se modifică</t>
  </si>
  <si>
    <t>Principalele elemente feromagnetice sunt:</t>
  </si>
  <si>
    <t>Fierul, nichelul şi cobaltul</t>
  </si>
  <si>
    <t>Fierul, cuprul, zincul</t>
  </si>
  <si>
    <t>Fierul, aluminiul, cuprul</t>
  </si>
  <si>
    <t>Principalul avantaj al motoarelor asincrone cu rotorul în scurtcircuit cu simplă colivie îl constituie:</t>
  </si>
  <si>
    <t>curentul mic de pornire</t>
  </si>
  <si>
    <t>pornirea fără dispozitiv de pornire</t>
  </si>
  <si>
    <t>cuplul de pornire foarte bun</t>
  </si>
  <si>
    <t>Principalul avantaj al motoarelor de curent continuu îl constituie faptul că:</t>
  </si>
  <si>
    <t>permit reglarea în limite largi a turaţiei</t>
  </si>
  <si>
    <t>nu necesită întreţinere permanentă</t>
  </si>
  <si>
    <t>prezintă o construcţie simplă şi robustă</t>
  </si>
  <si>
    <t>mai mare decât rezistenţa mai mare</t>
  </si>
  <si>
    <t>mai mică decât rezistenţa mai mică</t>
  </si>
  <si>
    <t>egală cu suma rezistenţelor</t>
  </si>
  <si>
    <t>umiditatea reziduală scăzută a gazului izolant</t>
  </si>
  <si>
    <t>Printre măsurile de reducere a distanţelor de izolare pot fi:</t>
  </si>
  <si>
    <t xml:space="preserve">folosirea dispozitivelor de limitare a curenţilor de scurtcircuit; </t>
  </si>
  <si>
    <t xml:space="preserve">aplicarea unui strat protector pe izolatoare pentru micşorarea efectelor poluării din marile oraşe sau de pe unele platforme industriale; </t>
  </si>
  <si>
    <t>micşorarea densităţii dielectricilor gazoşi.</t>
  </si>
  <si>
    <t>apar scântei la periile colectorului</t>
  </si>
  <si>
    <t>Releul termic se foloseşte pentru:</t>
  </si>
  <si>
    <t>protejarea motoarelor electrice la scurtcircuit</t>
  </si>
  <si>
    <t>protejarea generatoarelor si motoarelor electrice împotriva punerii la pământ</t>
  </si>
  <si>
    <t>protejarea motoarelor electrice împotriva suprasarcinilor</t>
  </si>
  <si>
    <t>Rezistenta echivalenta a trei rezistoare, având fiecare rezistenta de 2 ohm, montate în serie este:</t>
  </si>
  <si>
    <t xml:space="preserve"> 5 ohm</t>
  </si>
  <si>
    <t xml:space="preserve"> 0,66 ohm</t>
  </si>
  <si>
    <t xml:space="preserve"> 6 ohm</t>
  </si>
  <si>
    <t>Raportul nominal de transformare al unui transformator de putere este:</t>
  </si>
  <si>
    <t>raportul dintre tensiunea primara si secundara de mers în gol</t>
  </si>
  <si>
    <t>raportul dintre curentul primar si secundar la sarcina nominala</t>
  </si>
  <si>
    <t>raportul dintre tensiunea primara si secundara la sarcina nominala</t>
  </si>
  <si>
    <t>Reactanţa supratranzitorie a unui motor este:</t>
  </si>
  <si>
    <t xml:space="preserve"> direct proporţionala cu curentul de pornire</t>
  </si>
  <si>
    <t xml:space="preserve"> invers proporţionala cu curentul de pornire</t>
  </si>
  <si>
    <t xml:space="preserve"> invers proporţionala cu pătratul tensiunii de alimentare</t>
  </si>
  <si>
    <t>Reglarea puterii active debitate de generatorul sincron se face variind:</t>
  </si>
  <si>
    <t>tensiunea de excitaţie</t>
  </si>
  <si>
    <t>admisia agentului primar la turbina</t>
  </si>
  <si>
    <t>curentul statoric</t>
  </si>
  <si>
    <t>Reglarea puterii reactive debitate de generatorul sincron se face prin:</t>
  </si>
  <si>
    <t>modificarea curentului de excitaţie</t>
  </si>
  <si>
    <t>deschiderea aparatului director al turbinei</t>
  </si>
  <si>
    <t>deconectarea rezistentei de stingere</t>
  </si>
  <si>
    <t>Relaţia între curenţii de linie si de fazã în sisteme cu generatoare si receptoare conectate în triunghi este:</t>
  </si>
  <si>
    <t>curentul de linie este mai mare de 1,73 ori decât curentul de fazã</t>
  </si>
  <si>
    <t>curentul de linie este egal cu curentul de fazã</t>
  </si>
  <si>
    <t>curentul de fazã este mai mare de de 1,73 ori decât curentul de linie</t>
  </si>
  <si>
    <t>Se considera ca un transformator funcţionează în gol atunci când:</t>
  </si>
  <si>
    <t>sarcina transformatorului este foarte mica</t>
  </si>
  <si>
    <t>curentul primar si curentul secundar sunt foarte mici</t>
  </si>
  <si>
    <t>o înfăşurare este conectata la reţea, iar cealaltă este deschisa</t>
  </si>
  <si>
    <t>Spaţiul ocupat de o instalaţie capsulată depinde în principal de:</t>
  </si>
  <si>
    <t>curentul nominal al legăturilor electrice;</t>
  </si>
  <si>
    <t>mediul de stingere a arcului electric;</t>
  </si>
  <si>
    <t>Rezistenta echivalenta a trei rezistoare, având fiecare rezistenta de 3 ohm, montate în paralel, este:</t>
  </si>
  <si>
    <t xml:space="preserve"> 3 ohm</t>
  </si>
  <si>
    <t xml:space="preserve"> 1 ohm</t>
  </si>
  <si>
    <t xml:space="preserve"> 9 ohm</t>
  </si>
  <si>
    <t>Rezistivitatea unui conductor electric depinde de:</t>
  </si>
  <si>
    <t>natura materialului</t>
  </si>
  <si>
    <t>lungime, direct proporţional</t>
  </si>
  <si>
    <t>masa, direct proporţional</t>
  </si>
  <si>
    <t>Rezonanţa se obţine într-un circuit electric de curent alternativ dacă:</t>
  </si>
  <si>
    <t>reactanţele inductivă şi capacitivă în valoare absolută sunt egale</t>
  </si>
  <si>
    <t>reactanţa inductivă este mai mare decât reactanţa capacitivă</t>
  </si>
  <si>
    <t>reactanţa capacitivă este mai mare decât reactanţa inductivă</t>
  </si>
  <si>
    <t>Rolul conservatorului de ulei la transformatoarele de forţa este:</t>
  </si>
  <si>
    <t xml:space="preserve"> de a asigura o suprafaţa de contact a uleiului cu aerul mai mica</t>
  </si>
  <si>
    <t>de a face posibila umplerea cu ulei a transformatorului</t>
  </si>
  <si>
    <t>Rolul dominant pentru reglarea nivelului de tensiune pe o linie electrica îl are:</t>
  </si>
  <si>
    <t>circulaţia de putere activa</t>
  </si>
  <si>
    <t xml:space="preserve"> circulaţia de putere reactiva</t>
  </si>
  <si>
    <t>nici una din cele doua</t>
  </si>
  <si>
    <t xml:space="preserve">În cazul transformatoarelor de tensiune, care dintre urmatoarele enunturi nu este adevarat:
  </t>
  </si>
  <si>
    <t>alegerea transformatorului de tensiune presupune verificarea nivelului sau de izolatie;</t>
  </si>
  <si>
    <t>alegerea transformatorului de tensiune presupune verificarea sa la stabilitate electrodinamica in caz de scurtcircuit</t>
  </si>
  <si>
    <t>transformatorul de tensiune trebuie sa functioneze in domeniul de frecventa indicat de fabricant</t>
  </si>
  <si>
    <t>Schema echivalentă de calcul în cazul producerii unui scurtcircuit între două faze ale unei reţele izolat de pământ şi fără arc electric se compune din:</t>
  </si>
  <si>
    <t>Schema echivalentă de calcul în cazul producerii unui scurtcircuit trifazat, al unei reţele, izolat de pământ se compune din:</t>
  </si>
  <si>
    <t xml:space="preserve">  Transformatoarele  de măsură se folosesc</t>
  </si>
  <si>
    <t>în instalaţiile de curent alternativ de înaltă tensiune</t>
  </si>
  <si>
    <t>în instalaţiile de curent continuu de înaltă şi joasă tensiune</t>
  </si>
  <si>
    <t xml:space="preserve">Scopul normării distanţelor de izolare în aer minime admisibile pentru instalaţiile electrice este asigurarea: </t>
  </si>
  <si>
    <t>protecţiei personalului de exploatare a instalaţiei;</t>
  </si>
  <si>
    <t>siguranţei în funcţionare a instalaţiei, prin reducerea numărului de defecte în instalaţie;</t>
  </si>
  <si>
    <t>realizării unei economii de teren.</t>
  </si>
  <si>
    <t>Susceptanţa unui circuit de curent alternativ sinusoidal este inversul:</t>
  </si>
  <si>
    <t>impedanţei</t>
  </si>
  <si>
    <t>rezistenţei</t>
  </si>
  <si>
    <t>reactanţei</t>
  </si>
  <si>
    <t>Transformatoarele de măsurare de curent:</t>
  </si>
  <si>
    <t xml:space="preserve"> pot fi racordate în circuitul primar cu înfăşurarea secundara deschisa</t>
  </si>
  <si>
    <t xml:space="preserve"> pot fi lăsate în exploatare cu înfăşurarea secundara deschisa</t>
  </si>
  <si>
    <t xml:space="preserve"> nu pot fi racordate in circuitul primar cu înfăşurarea secundara deschisa</t>
  </si>
  <si>
    <t>limitarea curenţilor de scurtcircuit pe barele respective, dacă alimentarea staţiei se face printr-un singur transformator;</t>
  </si>
  <si>
    <t>Secţionarea barelor colectoare în staţiile electrice are scopul:</t>
  </si>
  <si>
    <t>de limitare a curenţilor de scurtcircuit</t>
  </si>
  <si>
    <t>de a reduce costul instalaţiei</t>
  </si>
  <si>
    <t>de a reduce pierderile de putere</t>
  </si>
  <si>
    <t>Sensul puterii deformante într-un circuit format dintr-un generator care produce o undă sinusoidală şi o bobină cu miez de fier saturat este:</t>
  </si>
  <si>
    <t>de la generator spre bobină</t>
  </si>
  <si>
    <t>întotdeauna de la bobină spre generator</t>
  </si>
  <si>
    <t>poate avea oricare sens, în funcţie de încărcarea generatorului</t>
  </si>
  <si>
    <t>Separatorul, ca echipament în cadrul unei staţii electrice, are rolul:</t>
  </si>
  <si>
    <t xml:space="preserve"> de a proteja circuitul la supracurenţi</t>
  </si>
  <si>
    <t xml:space="preserve"> de a separa vizibil un circuit</t>
  </si>
  <si>
    <t xml:space="preserve"> de a măsură nivelul de izolaţie</t>
  </si>
  <si>
    <t>Siguranţele electrice au rolul de a:</t>
  </si>
  <si>
    <t xml:space="preserve"> proteja instalaţia din aval la defecte la scurtcircuit ca si la suprasarcini de lunga durata</t>
  </si>
  <si>
    <t xml:space="preserve"> face trecerea din linie electrica aeriana în line electrica în cablu</t>
  </si>
  <si>
    <t xml:space="preserve"> asigura protecţia personalului</t>
  </si>
  <si>
    <t>Siguranţele electrice sunt aparate electrice care împiedica:</t>
  </si>
  <si>
    <t>creşterea tensiunii peste o valoare limita</t>
  </si>
  <si>
    <t>creşterea curentului peste o valoare limita</t>
  </si>
  <si>
    <t>scăderea curentului sub o valoare limita</t>
  </si>
  <si>
    <t>Siguranţele fuzibile sunt aparate utilizate pentru protecţie la:</t>
  </si>
  <si>
    <t>supratensiuni</t>
  </si>
  <si>
    <t>supracurenţi</t>
  </si>
  <si>
    <t>defect de izolaţie</t>
  </si>
  <si>
    <t>Singurele mărimi fizice reale în curent alternativ sunt:</t>
  </si>
  <si>
    <t>mărimile efective de curent sau de tensiune</t>
  </si>
  <si>
    <t>mărimile instantanee de curent sau de tensiune</t>
  </si>
  <si>
    <t>valorile medii de curent sau de tensiune</t>
  </si>
  <si>
    <t>Sistemele simetrice de fazori în care se descompun sistemele de tensiuni sau de curenţi dezechilibraţi:</t>
  </si>
  <si>
    <t xml:space="preserve">corespund unor realităţi fizice </t>
  </si>
  <si>
    <t>reprezintă artificii de calcul</t>
  </si>
  <si>
    <t>numai sistemul direct corespunde unei realităţi fizice</t>
  </si>
  <si>
    <t>este simetric dacă fazele sunt egal încărcate</t>
  </si>
  <si>
    <t>Transformatoarele de măsurare de tensiune se construiesc pentru tensiuni în secundar de:</t>
  </si>
  <si>
    <t xml:space="preserve"> 10 V</t>
  </si>
  <si>
    <t xml:space="preserve"> 50 V</t>
  </si>
  <si>
    <t xml:space="preserve"> 100 V</t>
  </si>
  <si>
    <t>egală cu 1</t>
  </si>
  <si>
    <t>nulă</t>
  </si>
  <si>
    <t>egală cu 1/2</t>
  </si>
  <si>
    <t>de rezonanta sau de ferorezonanţa</t>
  </si>
  <si>
    <t xml:space="preserve"> liniar</t>
  </si>
  <si>
    <t xml:space="preserve"> neomogen</t>
  </si>
  <si>
    <t xml:space="preserve"> neliniar</t>
  </si>
  <si>
    <t>Teoremele (formulele) Biot Savart Laplace se referă la:</t>
  </si>
  <si>
    <t>intensitatea câmpului magnetic produs de un curent care circulă printr-un conductor</t>
  </si>
  <si>
    <t>forţa electromagnetică</t>
  </si>
  <si>
    <t>forţa exercitată între două conductoare paralele parcurse de curenţi</t>
  </si>
  <si>
    <t>Tesla este unitatea de măsură a:</t>
  </si>
  <si>
    <t>inducţiei magnetice</t>
  </si>
  <si>
    <t>fluxului magnetic</t>
  </si>
  <si>
    <t>intensităţii câmpului magnetic</t>
  </si>
  <si>
    <t>Transformatoarele cu ulei prevăzute cu conservator prezintă următoarele caracteristici:</t>
  </si>
  <si>
    <t>dilatarea lichidului este compensată prin deformarea elastică a pereţilor cuvei;</t>
  </si>
  <si>
    <t>Transformatoarele de măsurare a curenţilor se construiesc pentru curenţi secundari de:</t>
  </si>
  <si>
    <t>1 sau 5 A</t>
  </si>
  <si>
    <t>5 sau 10 A</t>
  </si>
  <si>
    <t>1 sau 10 A</t>
  </si>
  <si>
    <t>Un motor electric trifazat legat în stea este în funcţiune si alimentat la 0,4 kV. Tensiunea între neutrul stelei si una dintre faze este:</t>
  </si>
  <si>
    <t xml:space="preserve"> 0,4 kV</t>
  </si>
  <si>
    <t>0 V</t>
  </si>
  <si>
    <t xml:space="preserve"> 230 V</t>
  </si>
  <si>
    <t>Un separator pe un circuit de înalta tensiune poate fi manevrat:</t>
  </si>
  <si>
    <t>sub tensiune si cu curent</t>
  </si>
  <si>
    <t>cu curent fara tensiune</t>
  </si>
  <si>
    <t>fãrã curent, fãrã tensiune sau sub tensiune, fãrã curent</t>
  </si>
  <si>
    <t>Transformatoarele de măsurare de tensiune:</t>
  </si>
  <si>
    <t xml:space="preserve"> nu pot fi lăsate în exploatare cu înfăşurarea secundara deschisa</t>
  </si>
  <si>
    <t xml:space="preserve"> nu pot fi lăsate în exploatare cu înfăşurarea secundara în scurtcircuit</t>
  </si>
  <si>
    <t xml:space="preserve"> pot fi puse sub tensiune cu înfăşurarea secundara in scurtcircuit</t>
  </si>
  <si>
    <t>Un circuit de curent alternativ, pentru care factorul de putere este egal cu 1, este un circuit:</t>
  </si>
  <si>
    <t>pur rezistiv</t>
  </si>
  <si>
    <t>pur inductiv</t>
  </si>
  <si>
    <t>pur capacitiv</t>
  </si>
  <si>
    <t>Utilizarea unei cuple longo-transversale se preferă atunci când dorim:</t>
  </si>
  <si>
    <t>scurtarea manevrelor;</t>
  </si>
  <si>
    <t>o siguranţă în funcţionare mai mare;</t>
  </si>
  <si>
    <t>reducerea investiţiei în echiparea staţiei.</t>
  </si>
  <si>
    <t>Un corp conductor situat într-un câmp electric de intensitate E se încarcă cu electricitate:</t>
  </si>
  <si>
    <t>prin conducţie</t>
  </si>
  <si>
    <t>prin magnetizare</t>
  </si>
  <si>
    <t>Un întreruptor debroşabil asigură:</t>
  </si>
  <si>
    <t>protecţia în caz de scurtcircuit;</t>
  </si>
  <si>
    <t>protecţia la supratensiuni;</t>
  </si>
  <si>
    <t>izolarea personalului care lucrează la întreruptor, de restul instalaţiei aflată sub tensiune.</t>
  </si>
  <si>
    <t>protecţia la supratensiuni.</t>
  </si>
  <si>
    <t>Un motor electric sincron, care funcţionează subexcitat:</t>
  </si>
  <si>
    <t>absoarbe putere activă şi putere reactivă</t>
  </si>
  <si>
    <t>absoarbe putere activă şi produce putere reactivă</t>
  </si>
  <si>
    <t>produce putere activă şi putere reactivă</t>
  </si>
  <si>
    <t>Valoarea conductivităţii electrice este în ordine crescătoare la următoarele materiale:</t>
  </si>
  <si>
    <t>aluminiu, argint, cupru</t>
  </si>
  <si>
    <t>argint, cupru, aluminiu</t>
  </si>
  <si>
    <t xml:space="preserve"> aluminiu, cupru, argint</t>
  </si>
  <si>
    <t>Un număr de n surse  având fiecare tensiunea electromotoare continua e si rezistenta interioara r, legate în paralel pot fi înlocuite printr-o sursa echivalenta având:</t>
  </si>
  <si>
    <t>Un receptor electric de rezistenţă R conectat la bornele AB ale unui circuit de alimentare oarecare absoarbe puterea maximă dacă:</t>
  </si>
  <si>
    <t>rezistenţa R este egală cu rezistenţa totală a circuitului văzută prin bornele AB</t>
  </si>
  <si>
    <t>rezistenţa R este egală cu rezistenţa internă a sursei de tem</t>
  </si>
  <si>
    <t>rezistenţa R tinde spre zero</t>
  </si>
  <si>
    <t>Valoarea intensităţii câmpului electric produs de o sarcină electrică la distanţa r este:</t>
  </si>
  <si>
    <t>invers proporţională cu pătratul lui r</t>
  </si>
  <si>
    <t>Un transformator de măsurare de curent nu poate fi lăsat cu secundarul în gol, deoarece:</t>
  </si>
  <si>
    <t xml:space="preserve"> împiedica circulaţia curentului primar</t>
  </si>
  <si>
    <t xml:space="preserve"> apar supratensiuni periculoase in secundar</t>
  </si>
  <si>
    <t xml:space="preserve"> nu indica aparatele de măsurare</t>
  </si>
  <si>
    <t>Unitatea de măsură a capacităţii unui condensator este:</t>
  </si>
  <si>
    <t xml:space="preserve"> F</t>
  </si>
  <si>
    <t xml:space="preserve"> Axh</t>
  </si>
  <si>
    <t xml:space="preserve"> A/h</t>
  </si>
  <si>
    <t>Unitatea de măsură a fluxului electric este:</t>
  </si>
  <si>
    <t>Faradul</t>
  </si>
  <si>
    <t>Unitatea de măsură a fluxului magnetic este:</t>
  </si>
  <si>
    <t>Tesla</t>
  </si>
  <si>
    <t>Weber</t>
  </si>
  <si>
    <t>Farad</t>
  </si>
  <si>
    <t>Unitatea de măsură a frecvenţei mărimilor periodice se numeşte:</t>
  </si>
  <si>
    <t>Hertz</t>
  </si>
  <si>
    <t>Henry</t>
  </si>
  <si>
    <t>Unitatea de măsură a sarcinii electrice este:</t>
  </si>
  <si>
    <t xml:space="preserve">V/m </t>
  </si>
  <si>
    <t xml:space="preserve">Coulomb </t>
  </si>
  <si>
    <t xml:space="preserve"> Farad </t>
  </si>
  <si>
    <t>Unitatea de măsură ohm x mmp / m este pentru:</t>
  </si>
  <si>
    <t>rezistivitate</t>
  </si>
  <si>
    <t>greutate specifica</t>
  </si>
  <si>
    <t>coeficient de dilataţie</t>
  </si>
  <si>
    <t>Unitatea de măsură pentru măsurarea puterii active este:</t>
  </si>
  <si>
    <t>kWh</t>
  </si>
  <si>
    <t>kW</t>
  </si>
  <si>
    <t>kW/h</t>
  </si>
  <si>
    <t>Unitatea de măsură pentru puterea reactiva este:</t>
  </si>
  <si>
    <t>kVAr</t>
  </si>
  <si>
    <t>kVA</t>
  </si>
  <si>
    <t>Utilizarea întreruptoarelor debroşabile:</t>
  </si>
  <si>
    <t>nu asigură eliminarea unor greşeli de manevră datorate separatoarelor;</t>
  </si>
  <si>
    <t>asigură scurtarea duratei reviziilor la celule;</t>
  </si>
  <si>
    <t>asigură eliminarea unor greşeli de manevră datorate separatoarelor;</t>
  </si>
  <si>
    <t>nu asigură scurtarea duratei reviziilor la celule;</t>
  </si>
  <si>
    <t>Utilizarea întreruptorului debroşabil:</t>
  </si>
  <si>
    <t>asigură rapiditate în restabilirea alimentării în cazul unei defectări;</t>
  </si>
  <si>
    <t>creşte riscul de electrocutare a personalului care execută lucrări de revizie în celulă.</t>
  </si>
  <si>
    <t>puţin silenţioase.</t>
  </si>
  <si>
    <t xml:space="preserve">Utilizarea vidului ca mediu de stingere a arcului electric: </t>
  </si>
  <si>
    <t>reduce pericolul de incendiu;</t>
  </si>
  <si>
    <t>creşte masa şi gabaritul întreruptoarelor</t>
  </si>
  <si>
    <t>Valoarea frecventei în sistemul electroenergetic este determinata în principal de:</t>
  </si>
  <si>
    <t xml:space="preserve"> bilanţul puterilor active</t>
  </si>
  <si>
    <t xml:space="preserve"> circulaţia puterii reactive</t>
  </si>
  <si>
    <t>modul de tratare a neutrului reţelei</t>
  </si>
  <si>
    <t>Valoarea medie a capacităţii lineice pentru o linie electrică aeriană trifazată este ......... faţă de cea a unui cablu subteran.</t>
  </si>
  <si>
    <t>egală</t>
  </si>
  <si>
    <t>mai mică</t>
  </si>
  <si>
    <t>Valoarea medie a inductanţei de serviciu pentru o linie electrică aeriană trifazată este ......... faţă de cea a unui cablu subteran.</t>
  </si>
  <si>
    <t xml:space="preserve">egală </t>
  </si>
  <si>
    <t>Valoarea medie pătratică a unei mărimi periodice se mai numeşte şi:</t>
  </si>
  <si>
    <t>amplitudine</t>
  </si>
  <si>
    <t>Durata de viata a lămpilor cu incandescenta:</t>
  </si>
  <si>
    <t>În cazul punerii nete la pământ a fazei S         într-o reţea de 20 kV cu neutrul izolat:</t>
  </si>
  <si>
    <t>condensatoare montate în paralel</t>
  </si>
  <si>
    <t>Pierderile de putere într-o linie electrică prin care se transportă o putere activă P la un factor de putere = 0,9, faţă de cazul când se transportă aceeaşi putere la un factor de putere = 0,8 sunt:</t>
  </si>
  <si>
    <t>Un conductor în care circulaţia curentului electric nu se supune legii lui Ohm se numeşte:</t>
  </si>
  <si>
    <t>este întotdeauna simetric</t>
  </si>
  <si>
    <t>descrescător</t>
  </si>
  <si>
    <t>crescător</t>
  </si>
  <si>
    <t>constant</t>
  </si>
  <si>
    <t>energia electrica tranzitata            printr-un circuit este produsul dintre puterea medie si timpul de functionare;</t>
  </si>
  <si>
    <t>Rezistenţa echivalentă a două rezistenţe cu valori diferite montate în paralel este:</t>
  </si>
  <si>
    <t>câmpul electric</t>
  </si>
  <si>
    <t>eliminarea totală a posibilităţii de producere a unui scurtcircuit între faze</t>
  </si>
  <si>
    <t>O linie electrică foarte lungă se comportă ca o linie adaptată:</t>
  </si>
  <si>
    <t>dacă alimentează un receptor cu impedanţă egală cu impedanţa sa caracteristică</t>
  </si>
  <si>
    <t>dacă funcţionează  în scurtcircuit</t>
  </si>
  <si>
    <t>dacă funcţionează în gol</t>
  </si>
  <si>
    <t>Pentru o linie electrică lungă care alimentează un receptor ce are impedanţa egală cu impedanţa caracteristică a liniei, puterea activă la extremitatea receptoare:</t>
  </si>
  <si>
    <t>Schema echivalentă de calcul în cazul producerii unui scurtcircuit trifazat şi la pământ, cu arc, se compune din:</t>
  </si>
  <si>
    <t>Sistemul de tensiuni al unei reţele racordate la un generator electric care produce tensiuni electromotoare simetrice:</t>
  </si>
  <si>
    <t>Supratensiunile de trăsnet pot fi:</t>
  </si>
  <si>
    <t>induse</t>
  </si>
  <si>
    <t xml:space="preserve">împiedică, dar nu elimină, pătrunderea umidităţii în interiorul rezervorului de expansiune; </t>
  </si>
  <si>
    <t>asigură facilităţi în modul de dispunere a bornelor şi deci de racordare la reţea.</t>
  </si>
  <si>
    <t>Coulombul</t>
  </si>
  <si>
    <t>Potenţialul electrostatic în punctul M este  :</t>
  </si>
  <si>
    <t>lucrul mecanic care trebuie produs spre a transporta unitatea de sarcină pozitivă de la infinit până în punctul M.</t>
  </si>
  <si>
    <t>forţa care este necesară pentru a transporta unitatea de sarcină pozitivă de la infinit până în punctul M</t>
  </si>
  <si>
    <t xml:space="preserve">forţa care este necesară pentru a transporta unitatea de sarcină pozitivă din punctul M până la infinit </t>
  </si>
  <si>
    <t>schema de secvenţă directă (pozitivă) înseriată cu triplul impedanţei arcului</t>
  </si>
  <si>
    <t>schema de secvenţă directă (pozitivă)</t>
  </si>
  <si>
    <t>schema de secvenţă directă (pozitivă) înseriată cu schema de secvenţă inversă (negativă).</t>
  </si>
  <si>
    <t xml:space="preserve">schemele de secvenţă directă (pozitivă) , inversă (negativă) şi homopolară (zero) conectate în serie </t>
  </si>
  <si>
    <t>schemele de secvenţă directă (pozitivă) şi inversă (negativă) conectate în paralel</t>
  </si>
  <si>
    <t xml:space="preserve">schemele de secvenţă directă (pozitivă) şi inversă (negativă) conectate în paralel </t>
  </si>
  <si>
    <t>schemele de secvenţă directă (pozitivă), inversă (negativă) şi homopolară (zero) conectate în paralel</t>
  </si>
  <si>
    <t>realizarea capsulării: capsulare tripolară sau monopolară.</t>
  </si>
  <si>
    <t>Pentru calculul curenţilor de scurtcircuit într-o reţea prin metoda componentelor simetrice, reţeaua inversă (negativă) se compune din:</t>
  </si>
  <si>
    <t>impedanţe diferite de ale reţelei directe (pozitive) pentru elemente statice</t>
  </si>
  <si>
    <t>du = i/C dt</t>
  </si>
  <si>
    <r>
      <t>La un transformator cu grupa de conexiuni Y</t>
    </r>
    <r>
      <rPr>
        <vertAlign val="subscript"/>
        <sz val="11"/>
        <rFont val="Times New Roman"/>
        <family val="1"/>
      </rPr>
      <t>0</t>
    </r>
    <r>
      <rPr>
        <sz val="11"/>
        <rFont val="Times New Roman"/>
        <family val="1"/>
        <charset val="238"/>
      </rPr>
      <t xml:space="preserve"> d-5 alimentat cu un sistem simetric de tensiuni, între neutru si pământ, în regim normal si simetric de funcţionare avem:</t>
    </r>
  </si>
  <si>
    <t>Comparativ cu un transformator, autotransformatorul are tensiunea de scurtcircuit:</t>
  </si>
  <si>
    <t>au aceleaşi componente inverse (negative)</t>
  </si>
  <si>
    <t>au aceleaşi componente homopolare (zero)</t>
  </si>
  <si>
    <t>sistemul nu are componentă simetrică inversă (negativă)</t>
  </si>
  <si>
    <t>sistemul nu are componentă simetrică homopolară (zero)</t>
  </si>
  <si>
    <t>suma căderilor de tensiune            de-a lungul conturului</t>
  </si>
  <si>
    <r>
      <t xml:space="preserve">Curentul care circula printr-un circuit de curent alternativ, având rezistenta r=3 </t>
    </r>
    <r>
      <rPr>
        <sz val="11"/>
        <rFont val="Calibri"/>
        <family val="2"/>
      </rPr>
      <t>Ω</t>
    </r>
    <r>
      <rPr>
        <sz val="11"/>
        <rFont val="Times New Roman"/>
        <family val="1"/>
        <charset val="238"/>
      </rPr>
      <t xml:space="preserve">, reactanţa x= 4 </t>
    </r>
    <r>
      <rPr>
        <sz val="11"/>
        <rFont val="Calibri"/>
        <family val="2"/>
      </rPr>
      <t>Ω</t>
    </r>
    <r>
      <rPr>
        <sz val="11"/>
        <rFont val="Times New Roman"/>
        <family val="1"/>
        <charset val="238"/>
      </rPr>
      <t xml:space="preserve"> si la bornele căruia se aplica o tensiune de 220 V este:</t>
    </r>
  </si>
  <si>
    <t xml:space="preserve"> nu depinde de distanţa r dintre conductoare</t>
  </si>
  <si>
    <r>
      <t xml:space="preserve">     </t>
    </r>
    <r>
      <rPr>
        <sz val="11"/>
        <rFont val="Times New Roman"/>
        <family val="1"/>
      </rPr>
      <t>V/m</t>
    </r>
  </si>
  <si>
    <r>
      <t>3 condensatoare având capacitatea C</t>
    </r>
    <r>
      <rPr>
        <vertAlign val="subscript"/>
        <sz val="11"/>
        <rFont val="Times New Roman"/>
        <family val="1"/>
      </rPr>
      <t>1</t>
    </r>
    <r>
      <rPr>
        <sz val="11"/>
        <rFont val="Times New Roman"/>
        <family val="1"/>
        <charset val="238"/>
      </rPr>
      <t xml:space="preserve">=100 </t>
    </r>
    <r>
      <rPr>
        <sz val="11"/>
        <rFont val="Calibri"/>
        <family val="2"/>
      </rPr>
      <t>μ</t>
    </r>
    <r>
      <rPr>
        <sz val="11"/>
        <rFont val="Times New Roman"/>
        <family val="1"/>
        <charset val="238"/>
      </rPr>
      <t>F, C</t>
    </r>
    <r>
      <rPr>
        <vertAlign val="subscript"/>
        <sz val="11"/>
        <rFont val="Times New Roman"/>
        <family val="1"/>
      </rPr>
      <t>2</t>
    </r>
    <r>
      <rPr>
        <sz val="11"/>
        <rFont val="Times New Roman"/>
        <family val="1"/>
        <charset val="238"/>
      </rPr>
      <t xml:space="preserve">=50 </t>
    </r>
    <r>
      <rPr>
        <sz val="11"/>
        <rFont val="Times New Roman"/>
        <family val="1"/>
      </rPr>
      <t>μ</t>
    </r>
    <r>
      <rPr>
        <sz val="11"/>
        <rFont val="Times New Roman"/>
        <family val="1"/>
        <charset val="238"/>
      </rPr>
      <t>F, C</t>
    </r>
    <r>
      <rPr>
        <vertAlign val="subscript"/>
        <sz val="11"/>
        <rFont val="Times New Roman"/>
        <family val="1"/>
      </rPr>
      <t>3</t>
    </r>
    <r>
      <rPr>
        <sz val="11"/>
        <rFont val="Times New Roman"/>
        <family val="1"/>
        <charset val="238"/>
      </rPr>
      <t xml:space="preserve">=100 </t>
    </r>
    <r>
      <rPr>
        <sz val="11"/>
        <rFont val="Times New Roman"/>
        <family val="1"/>
      </rPr>
      <t>μ</t>
    </r>
    <r>
      <rPr>
        <sz val="11"/>
        <rFont val="Times New Roman"/>
        <family val="1"/>
        <charset val="238"/>
      </rPr>
      <t>F legate în paralel, au capacitatea echivalentă.</t>
    </r>
  </si>
  <si>
    <t xml:space="preserve">                             ELECTROTEHNICĂ, MAŞINI ŞI REŢELE ELECTRICE</t>
  </si>
  <si>
    <t xml:space="preserve">Câmpul electrostatic este descris </t>
  </si>
  <si>
    <t>prin: intensitatea câmpului electric</t>
  </si>
  <si>
    <t>numai prin inducţia electrică</t>
  </si>
  <si>
    <t xml:space="preserve">Câmp fără surse este </t>
  </si>
  <si>
    <t>numai un câmp de curenţi de conducţie în regim staţionar</t>
  </si>
  <si>
    <t>risc redus de poluare acustică a mediului ambiant;</t>
  </si>
  <si>
    <t xml:space="preserve">Compartimentarea unei celule electrice se utilizează </t>
  </si>
  <si>
    <t xml:space="preserve"> în scopul evitării extinderii avariilor;</t>
  </si>
  <si>
    <t>numai  în scopul protejării personalului de exploatare;</t>
  </si>
  <si>
    <t>Curentul din circuitul statoric al unui generator crește direct proporţional:</t>
  </si>
  <si>
    <t>numai cu puterile active generate</t>
  </si>
  <si>
    <t>densitatea de curent crește în părţile apropiate ale conductoarelor</t>
  </si>
  <si>
    <t>au numai aceleaşi componente directe (pozitive)</t>
  </si>
  <si>
    <t>numai unor forţe electromotoare induse datorită variaţiei curentului</t>
  </si>
  <si>
    <t xml:space="preserve">numai limitarea posibilităţilor de producere a unui defect în instalaţie; </t>
  </si>
  <si>
    <t>sistemul nu are are componentă simetrică directă (pozitivă)</t>
  </si>
  <si>
    <t xml:space="preserve">În cazul schemelor cu două sisteme de bare colectoare şi un întreruptor pe circuit, funcţionarea cu unul dintre sistemele de bare în rezervă rece ( fără tensiune) este avantajoasă </t>
  </si>
  <si>
    <t>numai atunci când se doreşte scurtarea duratei manevrelor în caz de ocolire a unui întreruptor;</t>
  </si>
  <si>
    <t xml:space="preserve">atunci când se doreşte scurtarea duratei manevrelor în caz de revizie a unuia dintre sistemele de bare colectoare. </t>
  </si>
  <si>
    <t xml:space="preserve">atunci când se doreşte micşorarea daunelor de nealimentare a consumatorilor în caz de scurtcircuit pe unul dintre sistemele de bare; </t>
  </si>
  <si>
    <t>În echipamentul electric, uleiul electroizolant, din punct de vedere electric:</t>
  </si>
  <si>
    <t>asigură doar izolarea părților sub tensiune între ele si fatã de masã</t>
  </si>
  <si>
    <t>În tubul de porţelan al unei siguranţe de înalta tensiune, nisipul :</t>
  </si>
  <si>
    <t xml:space="preserve"> are numai rolul de a consolida elementele fuzibile</t>
  </si>
  <si>
    <t>are rolul de a mari puterea de rupere a siguranţei</t>
  </si>
  <si>
    <t>numai de temperatura mediului ambiant</t>
  </si>
  <si>
    <t xml:space="preserve">Intensitatea câmpului electric într-un anumit punct se măsoară </t>
  </si>
  <si>
    <t>prin raportul dintre forţa exercitata asupra unei sarcini electrice în acel punct si mărimea sarcinii</t>
  </si>
  <si>
    <t>numai prin derivata în raport cu spaţiul cu semn schimbat a potenţialului în acel punct</t>
  </si>
  <si>
    <t xml:space="preserve">Într-o schemă electrică prevăzută cu mai multe sisteme de bare colectoare, separatorul de bare </t>
  </si>
  <si>
    <t>asigură doar selectarea sistemului de bare pe care urmează a fi conectat circuitul;</t>
  </si>
  <si>
    <t xml:space="preserve">asigură izolarea unei părţi a circuitului de bara colectoare aflată sub tensiune; </t>
  </si>
  <si>
    <t>se poate utiliza numai pentru cuplarea în paralel a celor două sisteme de bare colectoare care sunt sub tensiune;</t>
  </si>
  <si>
    <t xml:space="preserve">se poate utiliza numai pentru verificarea stării izolaţiei unui sistem de bare colectoare, care până în momentul respectiv a fost scos de sub tensiune.  </t>
  </si>
  <si>
    <t>numai cu sarcina</t>
  </si>
  <si>
    <t>numai prin utilizarea motoarelor cu rotorul în dublă colivie</t>
  </si>
  <si>
    <t>numai din motive constructive</t>
  </si>
  <si>
    <t xml:space="preserve">Motoarele sincrone se utilizează rar pentru antrenarea mecanismelor de servicii proprii din centralele electrice </t>
  </si>
  <si>
    <t>deoarece nu permit variaţia turaţiei în limite largi</t>
  </si>
  <si>
    <t>numai deoarece excitatoarea cu colector din circuitul acestora este un element puţin fiabil</t>
  </si>
  <si>
    <t>deoarece au randament mai mic decât al celorlalte tipuri de motoare</t>
  </si>
  <si>
    <t xml:space="preserve">Nivelul de tensiune în sistem se reglează </t>
  </si>
  <si>
    <t>numai prin încărcarea generatoarelor cu putere reactiva</t>
  </si>
  <si>
    <t xml:space="preserve">prin utilizare de compensatoare </t>
  </si>
  <si>
    <t>Z Y = 1                                        J=YE</t>
  </si>
  <si>
    <t>Z Y = 1                                       Z=Y</t>
  </si>
  <si>
    <t>J=YE                                         Z=Y</t>
  </si>
  <si>
    <t xml:space="preserve">impedanţe identice cu ale reţelei directe (pozitive) pentru elemente statice și impedanţe diferite de ale reţelei directe (pozitive) pentru maşini rotative </t>
  </si>
  <si>
    <t xml:space="preserve">impedanţe identice cu ale reţelei directe (pozitive) atât pentru elemente statice cât și pentru maşini rotative </t>
  </si>
  <si>
    <t>se limitează dimensiunile pieselor</t>
  </si>
  <si>
    <t xml:space="preserve">se execută piesele metalice din tole de oţel  cu adaus de siliciu pentru mărirea rezistivităţii, subţiri și izolate între ele </t>
  </si>
  <si>
    <t>depinde de lungimea liniei</t>
  </si>
  <si>
    <t xml:space="preserve">Carcasa  unei celule electrice </t>
  </si>
  <si>
    <t>asigură numai protecţia persoanelor împotriva atingerii accidentale a pieselor aflate sub tensiune în funcţionare normală sau a pieselor în mişcare din interiorul învelişului;</t>
  </si>
  <si>
    <t>asigură protecţia echipamentului electric împotriva pătrunderii corpurilor străine şi a umezelii;</t>
  </si>
  <si>
    <t>asigură protecţia echipamentului electric împotriva supratensiunilor.</t>
  </si>
  <si>
    <t>numai de produse de descompunere ale SF6 şi compuşii lor cu materiale izolante sau metale, sub influenţa umidităţii;</t>
  </si>
  <si>
    <t>de impurităţi ca urmare a unui montaj necorespunzător (dacă montajul se face cu mâini murdare, transpirate, urme de grăsime, praf de diferite feluri şi mai ales pilituri metalice);</t>
  </si>
  <si>
    <t xml:space="preserve">Reducerea nivelului de izolație din instalațiile capsulate cu SF6 poate fi provocată   </t>
  </si>
  <si>
    <t xml:space="preserve">Producerea dublei puneri la pământ a bobinajului rotoric al unui generator sincron are ca efect negativ </t>
  </si>
  <si>
    <t xml:space="preserve">numai creșterea foarte mare a curentului prin circuitul rotoric </t>
  </si>
  <si>
    <t>faptul că tensiunile electromotoare nu mai sunt sinusoidale</t>
  </si>
  <si>
    <t xml:space="preserve">Un regim energetic  este deformant  </t>
  </si>
  <si>
    <t>dacă undele de curent şi tensiune nu sunt periodice</t>
  </si>
  <si>
    <t>numai dacă undele de curent şi de tensiune sunt ambele periodice şi nesinusoidale</t>
  </si>
  <si>
    <t xml:space="preserve"> numai  de a asigura spaţiul necesar dilatării si contractării uleiului</t>
  </si>
  <si>
    <t>numai în instalaţiile de curent alternativ de medie tensiune</t>
  </si>
  <si>
    <t>Secţionarea barelor colectoare ale unei staţii electrice conduce</t>
  </si>
  <si>
    <t>numai la limitarea curenţilor de scurtcircuit pe barele respective, dacă alimentarea staţiei se face prin două transformatoare sau printr-un transformator cu înfăşurare divizată.</t>
  </si>
  <si>
    <t>la mărirea continuităţii în alimentare a consumatorilor racordaţi la bare;</t>
  </si>
  <si>
    <t>este simetric chiar dacă fazele sunt neegal încărcate</t>
  </si>
  <si>
    <t>numai directe</t>
  </si>
  <si>
    <t>numai protecţia în caz de scurtcircuit;</t>
  </si>
  <si>
    <t>numai comutaţia în regim normal;</t>
  </si>
  <si>
    <t>asigură numai izolarea personalului care lucrează la întreruptor, de restul instalaţiei aflată sub tensiune.</t>
  </si>
  <si>
    <t xml:space="preserve">Autotransformatoarele sunt folosite </t>
  </si>
  <si>
    <t>între reţelele de                     110 kV şi 220 kV</t>
  </si>
  <si>
    <t>numai între reţelele de              220 kV şi 400 kV</t>
  </si>
  <si>
    <t xml:space="preserve"> între reţelele de                   20 kV şi 110 kV</t>
  </si>
  <si>
    <t>nu asigură izolarea personalului care lucrează la întreruptor, de restul instalaţiei aflată sub tensiune.</t>
  </si>
  <si>
    <t>asigură numai scurtarea duratei reviziilor la celule;</t>
  </si>
  <si>
    <t>asigură doar compactarea celulei;</t>
  </si>
  <si>
    <t xml:space="preserve">Utilizarea SF6 ca mediu de izolare </t>
  </si>
  <si>
    <t>conduce la realizarea unor celule cu pericol de incendiu</t>
  </si>
  <si>
    <t>conduce la realizarea unor celule compacte</t>
  </si>
  <si>
    <t>conduce numai la realizarea unor celule cu întreţinere mult simplificată;</t>
  </si>
  <si>
    <r>
      <t>Utilizarea SF</t>
    </r>
    <r>
      <rPr>
        <vertAlign val="subscript"/>
        <sz val="11"/>
        <rFont val="Times New Roman"/>
        <family val="1"/>
        <charset val="238"/>
      </rPr>
      <t>6</t>
    </r>
    <r>
      <rPr>
        <sz val="11"/>
        <rFont val="Times New Roman"/>
        <family val="1"/>
        <charset val="238"/>
      </rPr>
      <t xml:space="preserve"> ca mediu de stingere a arcului electric permite</t>
    </r>
  </si>
  <si>
    <t xml:space="preserve"> realizarea unor întreruptoare cu întreţinere mult simplificată;</t>
  </si>
  <si>
    <t>doar realizarea unor întreruptoare fără pericol de incendiu;</t>
  </si>
  <si>
    <t>nu reduce cheltuielile de întreţinere;</t>
  </si>
  <si>
    <t>valoare efectivă sau valoarea eficace</t>
  </si>
  <si>
    <t>modul</t>
  </si>
  <si>
    <t>A doua teoremă a lui Kirchhoff, pentru o reţea electrică cu N noduri şi L laturi (L diferit de N), ne furnizează, pentru analiza unui circuit electric:</t>
  </si>
  <si>
    <t>câmpul de inducţie electromagnetică</t>
  </si>
  <si>
    <t>Dacă o tensiune electromotoare E, montată în latura AB a unei reţele pasive, produce în latura CD a reţelei un curent I, montarea t.e.m. E în latura CD va produce în latura AB:</t>
  </si>
  <si>
    <t>Efectul pelicular al curentului alternativ este utilizat în:</t>
  </si>
  <si>
    <t>Efectul pelicular al unui curent alternativ care străbate un conductor masiv se datorează:</t>
  </si>
  <si>
    <t>Energia magnetostatică produsă de curentul i care parcurge un circuit care conţine o inductanţă L este egală cu:</t>
  </si>
  <si>
    <t>Enunţul "sarcinile electrice nu pot fi create și nici distruse, ci doar mutate" reprezintă o consecință pentru:</t>
  </si>
  <si>
    <t>Enunţul "suma algebrică a tensiunilor electromotoare dintr-o buclă a unei reţele electrice este egală cu suma algebrică a căderilor de tensiune din buclă" reprezintă:</t>
  </si>
  <si>
    <t>Factorul de atenuare al unui circuit format dintr-un rezistor de rezistenţă R înseriat cu o bobină de inductanţă L, alimentate de o tensiune electromotoare constantă este egal cu:</t>
  </si>
  <si>
    <t>Fluxul electric total, produs de o sarcină electrică de valoare q printr-o suprafaţă închisă care o înconjoară, este egal cu:</t>
  </si>
  <si>
    <t>Formula e = B l v, unde e este tensiune electromotoare, B este inducţia magnetică, l este lungimea unui conductor, v este viteza de deplasare a acestuia, reprezintă o forma particulară a:</t>
  </si>
  <si>
    <t>Tensiunea electromotoare indusă într-un circuit închis, prin variaţia fluxului magnetic, este:</t>
  </si>
  <si>
    <t>de tensiunea între faze</t>
  </si>
  <si>
    <t>de pierderile Joule-Lenz</t>
  </si>
  <si>
    <t>Într-un circuit format dintr-un rezistor de rezistenta R în serie cu o bobina de inductanţa L, în momentul alimentarii de la o sursa de curent continuu cu tensiune U:</t>
  </si>
  <si>
    <t>Teoremele lui Kirchhoff se aplică:</t>
  </si>
  <si>
    <t>Ecuația constitutivă a bobinei ideale are forma:</t>
  </si>
  <si>
    <t>Între două noduri oarecare A şi B ale unei reţele electrice active, o sursă de tensiune de tensiune electromotoare E şi  fără impedanţă interioară, dar legată în serie cu o impedanţă Z, poate fi înlocuită cu o sursă de curent, de intensitate J şi fără admitanţă interioară, şuntată cu admitanţa Y, fără ca parametrii electrici la bornele A şi B  - tensiunea la borne şi curentul debitat prin aceste borne- să se schimbe,  dacă sunt îndeplinite condiţiile:</t>
  </si>
  <si>
    <t>Prima teoremă a lui Kirchhoff, pentru o reţea electrică buclată cu N noduri, ne dă, pentru curenţii care circulă prin reţea:</t>
  </si>
  <si>
    <t>Prin adăugarea, pe toate laturile pornind din acelaşi nod al unei reţele buclate, a unor tensiuni electromotoare (t.e.m.) egale şi la fel orientate faţă de nod (teorema lui Vaschy):</t>
  </si>
  <si>
    <t>se pot modifica curenţii din laturile cu t.e.m. adăugate</t>
  </si>
  <si>
    <t xml:space="preserve"> se modifică circulaţia de curenţi din laturile pe care nu se adaugă t.e.m.</t>
  </si>
  <si>
    <t>Suma tensiunilor electromotoare ale unui sistem trifazat simetric este:</t>
  </si>
  <si>
    <t>prin inducţie electromagnetică</t>
  </si>
  <si>
    <t>tensiunea electromotoare e si rezistenta r/n</t>
  </si>
  <si>
    <t>tensiunea electromotoare ne si rezistentă r/n</t>
  </si>
  <si>
    <t>tensiunea electromotoare e si rezistenta nr.</t>
  </si>
  <si>
    <t xml:space="preserve"> ÎNTREBĂRI - SEPTEMBRIE 2024  </t>
  </si>
  <si>
    <t xml:space="preserve">SEPTEMBRIE 2024                              Enunt  </t>
  </si>
  <si>
    <t>inductanţa uniform răspândită l, definită prin puterea reactivă absorbită într-un element de linie infinit mic</t>
  </si>
  <si>
    <t>inductanţa uniform răspândită l, definită prin  puterea reactivă produsă de un element de linie infinit mic</t>
  </si>
  <si>
    <r>
      <t xml:space="preserve">250 </t>
    </r>
    <r>
      <rPr>
        <sz val="11"/>
        <rFont val="Times New Roman"/>
        <family val="1"/>
      </rPr>
      <t>μ</t>
    </r>
    <r>
      <rPr>
        <sz val="11"/>
        <rFont val="Times New Roman"/>
        <family val="1"/>
        <charset val="238"/>
      </rPr>
      <t>F</t>
    </r>
  </si>
  <si>
    <r>
      <rPr>
        <u/>
        <sz val="11"/>
        <rFont val="Times New Roman"/>
        <family val="1"/>
      </rPr>
      <t>S</t>
    </r>
    <r>
      <rPr>
        <sz val="11"/>
        <rFont val="Times New Roman"/>
        <family val="1"/>
      </rPr>
      <t>=</t>
    </r>
    <r>
      <rPr>
        <u/>
        <sz val="11"/>
        <rFont val="Times New Roman"/>
        <family val="1"/>
      </rPr>
      <t>E</t>
    </r>
    <r>
      <rPr>
        <sz val="11"/>
        <rFont val="Times New Roman"/>
        <family val="1"/>
      </rPr>
      <t>x</t>
    </r>
    <r>
      <rPr>
        <u/>
        <sz val="11"/>
        <rFont val="Times New Roman"/>
        <family val="1"/>
      </rPr>
      <t>H</t>
    </r>
  </si>
  <si>
    <r>
      <rPr>
        <sz val="11"/>
        <rFont val="Times New Roman"/>
        <family val="1"/>
      </rPr>
      <t>unor curenţi paraziţi induşi în conductor, simetrici faţă de axa acestuia</t>
    </r>
    <r>
      <rPr>
        <strike/>
        <sz val="11"/>
        <rFont val="Times New Roman"/>
        <family val="1"/>
      </rPr>
      <t xml:space="preserve"> </t>
    </r>
  </si>
  <si>
    <r>
      <t xml:space="preserve"> 1/2 Li</t>
    </r>
    <r>
      <rPr>
        <vertAlign val="superscript"/>
        <sz val="11"/>
        <rFont val="Times New Roman"/>
        <family val="1"/>
      </rPr>
      <t>2</t>
    </r>
    <r>
      <rPr>
        <sz val="11"/>
        <rFont val="Times New Roman"/>
        <family val="1"/>
        <charset val="238"/>
      </rPr>
      <t xml:space="preserve"> </t>
    </r>
  </si>
  <si>
    <r>
      <rPr>
        <sz val="11"/>
        <rFont val="Times New Roman"/>
        <family val="1"/>
      </rPr>
      <t>asigură izolarea personalului care lucrează la întreruptor, de restul instalaţiei aflată sub tensiune</t>
    </r>
    <r>
      <rPr>
        <sz val="11"/>
        <rFont val="Times New Roman"/>
        <family val="1"/>
        <charset val="238"/>
      </rPr>
      <t>.</t>
    </r>
  </si>
  <si>
    <t>Care dintre schemele alăturate permite obţinerea a două circuite de cuplă diagonală  (cruce cu întreruptor ) ?</t>
  </si>
  <si>
    <t xml:space="preserve">Care dintre schemele alăturate permite obţinerea a două circuite de cuplă  longitudinală ( cu întreruptor) ?  </t>
  </si>
  <si>
    <t xml:space="preserve">Care dintre schemele alăturate permite obţinerea a două circuite de cuplă  transversală ( cu întreruptor) ?  </t>
  </si>
  <si>
    <t>de inducţie electromagnetică</t>
  </si>
  <si>
    <t>Temperatura înfăşurărilor statorice ale generatoarelor electrice este determinată:</t>
  </si>
  <si>
    <t>undele de curent şi tensiune sunt periodice iar cel puțin una este nesinusoidală</t>
  </si>
  <si>
    <t>reducerea t.e.m., acţionând asupra circuitului de excitaţie al generatorului;</t>
  </si>
  <si>
    <t>Atunci când secţiunea conductorului neutru este cel puţin egală sau echivalentă cu a conductorului de fază,</t>
  </si>
  <si>
    <t xml:space="preserve"> este necesar să se prevadă o protecţie de supracurent pe conductorul neutru, dar  numai dacă rețeaua este de tip  TN </t>
  </si>
  <si>
    <t xml:space="preserve"> nu este necesar să se prevadă o protecţie de supracurent pe conductorul neutru dacă rețeaua este de tip  TT </t>
  </si>
  <si>
    <t xml:space="preserve">în nici o situație  nu este cazul să se prevadă o protecţie de supracurent pe conductorul neutru dacă rețeaua este de tip  IT </t>
  </si>
  <si>
    <t xml:space="preserve">Dacă de la orice punct al unei instalaţii funcţiile de conductor neutru (N) şi de conductor de protecţie (PE) sunt asigurate prin conductoare separate, 
</t>
  </si>
  <si>
    <t>este permis să se conecteze conductorul neutru la orice altă parte a instalaţiei legată la pământ</t>
  </si>
  <si>
    <t>este permis să se conecteze conductorul neutru la orice altă parte a instalaţiei legată la pământ, în anumite situații</t>
  </si>
  <si>
    <t>nu este permis să se conecteze conductorul neutru la orice altă parte a instalaţiei legată la pământ</t>
  </si>
  <si>
    <t xml:space="preserve"> Se prevede bornă sau bară comune pentru conductoarele de neutru şi respectiv conductoarele de protecţie.</t>
  </si>
  <si>
    <t xml:space="preserve"> Se prevăd borne sau bare separate pentru conductoarele de neutru şi respectiv conductoarele de protecţie.</t>
  </si>
  <si>
    <t xml:space="preserve"> Se prevăd borne sau bare separate pentru conductoarele de neutru şi respectiv conductoarele de protecţie, în anumite situații</t>
  </si>
  <si>
    <t>Adâncimea de pozare în pământ a tuburilor sau a blocurilor de cabluri:</t>
  </si>
  <si>
    <t>trebuie aleasă conform condiţiilor locale</t>
  </si>
  <si>
    <t>trebuie să respecte valorile minime prevăzute în norme</t>
  </si>
  <si>
    <t xml:space="preserve">trebuie să fie de  minim         50 cm </t>
  </si>
  <si>
    <t xml:space="preserve"> Amplasarea instalaţiilor electrice de joasă tensiune pe trasee comune cu acelea ale altor instalaţii sau utilaje care ar putea să le pericliteze în funcţionare normală sau în caz de avarie: </t>
  </si>
  <si>
    <t>este interzisă</t>
  </si>
  <si>
    <t>trebuie evitată</t>
  </si>
  <si>
    <t>este opţiunea proiectantului</t>
  </si>
  <si>
    <t xml:space="preserve"> Atunci când între priza de pământ a clădirii şi priza de pământ a postului de transformare (ce alimentează clădirea) este o distanță mai mică decât cea prevăzută de norme, se prevede o priză de pământ comună cu rezistenţă de cel mult </t>
  </si>
  <si>
    <t xml:space="preserve"> 10 Ω</t>
  </si>
  <si>
    <t>1 Ω.</t>
  </si>
  <si>
    <t xml:space="preserve"> 4 Ω</t>
  </si>
  <si>
    <t xml:space="preserve"> Conductoarele, barele, tuburile etc. </t>
  </si>
  <si>
    <t>nu se pot dispune pe trasee comune cu traseele altor instalaţii</t>
  </si>
  <si>
    <t>se pot dispune pe trasee comune cu traseele altor instalaţii cu îndeplinirea unor condiţii</t>
  </si>
  <si>
    <t xml:space="preserve"> se pot dispune pe trasee comune cu traseele altor instalaţii, fără alte condiții, dacă sunt în montaj aparent.</t>
  </si>
  <si>
    <t xml:space="preserve"> Conform prevederilor I 7 - 2011, alegerea secţiunii conductoarelor şi barelor din interiorul unui tablou este responsabilitatea .</t>
  </si>
  <si>
    <t>proiectantului instalației electrice</t>
  </si>
  <si>
    <t>producătorului</t>
  </si>
  <si>
    <t>verificatorului de proiect</t>
  </si>
  <si>
    <t xml:space="preserve"> Dacă circuitul unei baterii de condensatoare se protejează cu întreruptor automat (disjunctor) acesta se reglează pentru protecție la suprasarcină la</t>
  </si>
  <si>
    <t>curentul nominal al bateriei;</t>
  </si>
  <si>
    <t>1,5 ori curentul nominal al bateriei;</t>
  </si>
  <si>
    <t>1,2 ori curentul nominal al bateriei;</t>
  </si>
  <si>
    <t xml:space="preserve"> Dacă instalaţiile electrice sunt în distribuţie prefabricată în învelişuri metalice (cutii, carcase), aceste învelişuri </t>
  </si>
  <si>
    <t>pot fi utilizate drept conductoare de protecţie, în anumite condiții</t>
  </si>
  <si>
    <t>nu pot fi utilizate drept conductoare de protecţie</t>
  </si>
  <si>
    <t>pot fi utilizate întotdeauna drept conductoare de protecţie</t>
  </si>
  <si>
    <t xml:space="preserve"> Descărcătorul cu coarne </t>
  </si>
  <si>
    <t>asigură întotdeauna stingerea arcului electric al curentului de însoţire</t>
  </si>
  <si>
    <t>este constituit din unul sau mai multe eclatoare în aer</t>
  </si>
  <si>
    <t>realizează uneori funcţia de protecţie prin reducerea nivelului supratensiunilor.</t>
  </si>
  <si>
    <t xml:space="preserve"> Dozele de derivaţie se instalează </t>
  </si>
  <si>
    <t>numai pe suprafeţele verticale ale elementelor de construcţii</t>
  </si>
  <si>
    <t>cu prioritate pe suprafeţele verticale ale elementelor de construcţii</t>
  </si>
  <si>
    <t xml:space="preserve">pe sau în pardoseală, indiferent de tipul dozei </t>
  </si>
  <si>
    <t xml:space="preserve"> În  rețelele  în care funcțiunile de conductor de protecție și de conductor neutru  sunt îndeplinite de un singur conductor (PEN) </t>
  </si>
  <si>
    <t xml:space="preserve"> porțiunea comună trebuie să nu se găsească în aval de un dispozitiv de protecție la curent diferențial rezidual</t>
  </si>
  <si>
    <t>porțiunea comună se poate găsi în aval de un dispozitiv de protecție la curent diferențial rezidual, dacă rețeaua este de tip TN</t>
  </si>
  <si>
    <t xml:space="preserve"> porțiunea comună se poate găsi în aval de un dispozitiv de protecție la curent diferențial rezidual, dacă rețeaua este de tip TT</t>
  </si>
  <si>
    <t xml:space="preserve"> În amplasamente cu risc de incendiu datorita prafului şi /sau fibrelor, temperatura la suprafaţa corpurilor de iluminat, în caz de defect, trebuie să fie limitată la: 
</t>
  </si>
  <si>
    <t>200º C</t>
  </si>
  <si>
    <t>115º C</t>
  </si>
  <si>
    <t>80º C</t>
  </si>
  <si>
    <t xml:space="preserve"> În cazul în care alimentarea consumatorului se face din cofretul de branşament de joasă tensiune, valorile căderilor de tensiune, în regim normal de funcţionare faţă de tensiunea nominală a reţelei, trebuie să fie de cel mult:</t>
  </si>
  <si>
    <t xml:space="preserve">3% pentru receptoarele din instalaţiile electrice de lumină şi 5% pentru restul receptoarelor (forţă etc.) </t>
  </si>
  <si>
    <t xml:space="preserve">10% pentru toate tipurile de receptoare </t>
  </si>
  <si>
    <t xml:space="preserve">5% pentru receptoarele din instalaţiile electrice de lumină şi 12% pentru restul receptoarelor (forţă etc.) </t>
  </si>
  <si>
    <t xml:space="preserve"> În cazul instalaţiilor electrice de alimentare a motoarelor electrice, pierderea de tensiune la pornire, faţă de tensiunea nominală (dacă nu se dispune de alte date specificate de producătorul motorului etc.), trebuie să fie cel mult egală cu: </t>
  </si>
  <si>
    <t xml:space="preserve"> În cazul unei clădiri alimentate dintr-un post de transformare :  </t>
  </si>
  <si>
    <t>se prevăd întotdeauna prize de pământ separate, la clădire și la postul de transformare</t>
  </si>
  <si>
    <t>în anumite situații se prevede o priză de pământ comună cu rezistenţă de cel mult 1 Ω.</t>
  </si>
  <si>
    <t>în anumite situații se prevede o priză de pământ comună cu rezistenţă de cel mult 4 Ω.</t>
  </si>
  <si>
    <t xml:space="preserve"> În cazul unei clădiri alimentate dintr-un post de transformare,  între priza de pământ a clădirii şi priza de pământ a postului de transformare trebuie să fie o distanţă de: </t>
  </si>
  <si>
    <t>cel mult 1000 m</t>
  </si>
  <si>
    <t>cel puţin 20 m</t>
  </si>
  <si>
    <t>cel puţin 40 m</t>
  </si>
  <si>
    <t xml:space="preserve"> În fiecare instalaţie la nivelul tabloului general trebuie prevăzută</t>
  </si>
  <si>
    <t xml:space="preserve"> o bornă / bară principală de legare la pământ, numai atunci când reţeaua de distribuţie este TN-C;</t>
  </si>
  <si>
    <t xml:space="preserve">o bornă / bară principală de legare la pământ, </t>
  </si>
  <si>
    <t xml:space="preserve"> o bornă / bară principală de legare la pământ, numai în cazul în care alimentarea receptoarelor se face în sistem TN-S </t>
  </si>
  <si>
    <t xml:space="preserve"> În instalaţiile electrice cu tensiunea nominală până la 35 kV inclusiv, transformatoarele de tensiune racordate la barele colectoare vor fi, de regulă, protejate cu: </t>
  </si>
  <si>
    <t>siguranţe fuzibile</t>
  </si>
  <si>
    <t>separatoare</t>
  </si>
  <si>
    <t>separatoare de sarcină</t>
  </si>
  <si>
    <t xml:space="preserve"> În mod special se prevăd conductoare din cupru la circuitele electrice pentru alimentarea de sisteme şi instalaţii de prevenire şi stingere a incendiilor, atunci când secţiunea conductoarelor din aluminiu ar rezulta mai mică de:</t>
  </si>
  <si>
    <r>
      <t xml:space="preserve">   16 mm</t>
    </r>
    <r>
      <rPr>
        <vertAlign val="superscript"/>
        <sz val="11"/>
        <rFont val="Times New Roman"/>
        <family val="1"/>
      </rPr>
      <t>2</t>
    </r>
  </si>
  <si>
    <r>
      <t>25 mm</t>
    </r>
    <r>
      <rPr>
        <vertAlign val="superscript"/>
        <sz val="11"/>
        <rFont val="Times New Roman"/>
        <family val="1"/>
      </rPr>
      <t>2</t>
    </r>
  </si>
  <si>
    <r>
      <t>10 mm</t>
    </r>
    <r>
      <rPr>
        <vertAlign val="superscript"/>
        <sz val="11"/>
        <rFont val="Times New Roman"/>
        <family val="1"/>
      </rPr>
      <t>2</t>
    </r>
  </si>
  <si>
    <t xml:space="preserve"> În spaţiile de producţie pot fi amplasate  instalaţii electrice de medie tensiune:</t>
  </si>
  <si>
    <t>de tip închis, cu luarea unor masuri</t>
  </si>
  <si>
    <t>de tip deschis, cu luarea unor masuri</t>
  </si>
  <si>
    <t>indiferent de tip, cu luarea unor masuri</t>
  </si>
  <si>
    <t xml:space="preserve"> În subsoluri, poduri de cabluri, încăperi tehnologice, depozite şi alte spaţii cu pericol de incendiu: </t>
  </si>
  <si>
    <t>este interzisă realizarea de manşoane</t>
  </si>
  <si>
    <t>nu se realizează, de regulă, manşoane</t>
  </si>
  <si>
    <t>nu există situații exceptate</t>
  </si>
  <si>
    <t xml:space="preserve"> In toate reţelele TN, atunci când există un conductor PE sau PEN, acestea, când fac parte din componenţa tablourilor de distribuţie </t>
  </si>
  <si>
    <t xml:space="preserve"> trebuie legate la pământ numai dacă rezistența de dispersie a rețelei de legare la pământ              este &lt; 4Ω</t>
  </si>
  <si>
    <t xml:space="preserve">  pot fi sau nu legate la pământ </t>
  </si>
  <si>
    <t xml:space="preserve">trebuie legate la pământ obligatoriu </t>
  </si>
  <si>
    <t xml:space="preserve"> În vederea sistematizării ieşirii liniilor racordate la o instalaţie (evitarea traversărilor etc.) se pot folosi porţiuni de linii în cablu:</t>
  </si>
  <si>
    <t xml:space="preserve"> pentru tensiunile de 6 - 20 kV</t>
  </si>
  <si>
    <t>numai pentru tensiuni mai mari de 20 kV</t>
  </si>
  <si>
    <t>pentru toate liniile, indiferent de tensiune</t>
  </si>
  <si>
    <t xml:space="preserve"> Încăpere sau spaţiu de producţie electrică se numeşte acea încăpere sau spaţiu  </t>
  </si>
  <si>
    <t>în care se efectuează diverse operaţii sau procese tehnologice</t>
  </si>
  <si>
    <t>în care accesul este permis numai persoanelor autorizate pentru exploatarea instalaţiilor electrice respective şi care au responsabilitate în acest sens</t>
  </si>
  <si>
    <t>care poate servi și pentru procese tehnologice electrice.</t>
  </si>
  <si>
    <t xml:space="preserve">în care există instalații electrice, dar accesul persoanelor nu este restricționat </t>
  </si>
  <si>
    <t>care serveşte exclusiv pentru procese tehnologice electrice.</t>
  </si>
  <si>
    <t xml:space="preserve"> Instalarea prizelor în depozitele cu materiale combustibile categoria BE2 </t>
  </si>
  <si>
    <t xml:space="preserve">nu se admite </t>
  </si>
  <si>
    <t xml:space="preserve">se admite </t>
  </si>
  <si>
    <t>se admite condiţionat</t>
  </si>
  <si>
    <t xml:space="preserve"> Instalaţiile electrice peste 1kV, de exterior sau de interior, pot fi amplasate la distanţă nenormată faţă de construcţiile industriale sau civile, fără să fie necesară îndeplinirea altor condiţii: </t>
  </si>
  <si>
    <t>numai dacă se prevad pereţi antifoc la instalaţiile electrice</t>
  </si>
  <si>
    <t>numai dacă se prevad pereţi antifoc la construcţiile vecine</t>
  </si>
  <si>
    <t xml:space="preserve"> dacă se prevede o separare cu pereţi antifoc între instalaţiile electrice şi construcţiile vecine</t>
  </si>
  <si>
    <t xml:space="preserve"> Într-o reţea electrică cu tensiunea peste 1 kV:</t>
  </si>
  <si>
    <t xml:space="preserve"> trebuie utilizat  întotdeauna un echipament electric cu tensiunea cea mai ridicată egală celei ce ar corespunde tensiunii celei mai ridicate a reţelei în care se montează</t>
  </si>
  <si>
    <t xml:space="preserve"> în cazuri bine justificate se admite utilizarea unui echipament electric cu tensiunea cea mai ridicată, dintr-o clasă superioară celei ce ar corespunde tensiunii celei mai ridicate a reţelei </t>
  </si>
  <si>
    <t xml:space="preserve">în nici un caz nu se admite utilizarea unui echipament electric cu tensiunea cea mai ridicată, inferioară tensiunii celei mai ridicate a reţelei </t>
  </si>
  <si>
    <t xml:space="preserve"> Într-o reţea TN, punerea la masă a unei faze </t>
  </si>
  <si>
    <t>nu conduce la apariția unui curent de defect</t>
  </si>
  <si>
    <t>conduce la apariția unui curent de defect</t>
  </si>
  <si>
    <t>conduce la apariția unui curent de defect trecător</t>
  </si>
  <si>
    <t xml:space="preserve"> Izolarea dublă sau întărită a echipamentelor electrice – clasă II de izolaţie.   </t>
  </si>
  <si>
    <t xml:space="preserve">este o măsură tehnică suplimentară pentru protecţia  în caz de defect (protecţia la atingere indirectă) </t>
  </si>
  <si>
    <t xml:space="preserve">este o măsură tehnică principală pentru protecţia  în caz de defect (protecţia la atingere indirectă) </t>
  </si>
  <si>
    <t xml:space="preserve">este o măsură organizatorică pentru protecţia  în caz de defect (protecţia la atingere indirectă) </t>
  </si>
  <si>
    <t xml:space="preserve"> La consumatorii alimentaţi din surse proprii de energie electrică, puterea motoarelor care pot fi pornite direct se determină pe bază de calcul,</t>
  </si>
  <si>
    <t xml:space="preserve"> verificându-se satisfacerea condiţiei de cădere de tensiune admisă.</t>
  </si>
  <si>
    <t xml:space="preserve">dar nu se va depăşi 20% din puterea instalată a sursei </t>
  </si>
  <si>
    <t xml:space="preserve">dar nu se va depăşi 10% din puterea instalată a sursei </t>
  </si>
  <si>
    <t xml:space="preserve"> La instalaţiile electrice de putere de joasă tensiune, densitatea maximă de curent admisă  în regim de scurtă durată la pornire este de:</t>
  </si>
  <si>
    <r>
      <t>35 A/mm</t>
    </r>
    <r>
      <rPr>
        <vertAlign val="superscript"/>
        <sz val="11"/>
        <rFont val="Times New Roman"/>
        <family val="1"/>
      </rPr>
      <t>2</t>
    </r>
    <r>
      <rPr>
        <sz val="11"/>
        <rFont val="Times New Roman"/>
        <family val="1"/>
      </rPr>
      <t xml:space="preserve"> pentru conductoare de aluminiu</t>
    </r>
  </si>
  <si>
    <r>
      <t>20 A/mm</t>
    </r>
    <r>
      <rPr>
        <vertAlign val="superscript"/>
        <sz val="11"/>
        <rFont val="Times New Roman"/>
        <family val="1"/>
      </rPr>
      <t>2</t>
    </r>
    <r>
      <rPr>
        <sz val="11"/>
        <rFont val="Times New Roman"/>
        <family val="1"/>
      </rPr>
      <t xml:space="preserve"> pentru conductoare de cupru</t>
    </r>
  </si>
  <si>
    <r>
      <t>20 A/mm</t>
    </r>
    <r>
      <rPr>
        <vertAlign val="superscript"/>
        <sz val="11"/>
        <rFont val="Times New Roman"/>
        <family val="1"/>
      </rPr>
      <t>2</t>
    </r>
    <r>
      <rPr>
        <sz val="11"/>
        <rFont val="Times New Roman"/>
        <family val="1"/>
      </rPr>
      <t xml:space="preserve"> pentru conductoare de aluminiu</t>
    </r>
  </si>
  <si>
    <t xml:space="preserve"> La pozarea cablurilor de branşament pe stâlpii reţelelor electrice aeriene:</t>
  </si>
  <si>
    <t xml:space="preserve">pentru protecţia împotriva deteriorărilor mecanice se poate prevedea introducerea cablurilor în tub metalic pe o porţiune de 1m deasupra solului </t>
  </si>
  <si>
    <t xml:space="preserve">  pentru protecţia împotriva deteriorărilor mecanice se poate  prevedea introducerea cablurilor în tub din PVC pe o porţiune de 2m deasupra solului</t>
  </si>
  <si>
    <t xml:space="preserve">reglementările nu prevăd în această situaţie măsuri de protecţie împotriva deteriorărilor mecanice </t>
  </si>
  <si>
    <t xml:space="preserve">pentru protecţia împotriva deteriorărilor mecanice se poate prevedea introducerea cablurilor în tub metalic pe o porţiune de 2m deasupra solului </t>
  </si>
  <si>
    <t xml:space="preserve">  pentru protecţia împotriva deteriorărilor mecanice se poate  prevedea introducerea cablurilor în tub din PVC pe o porţiune de 1 m deasupra solului</t>
  </si>
  <si>
    <t xml:space="preserve"> La subtraversarea străzilor din localităţi,  lungimea tubului din PVC de protecţie  a cablului de branşament va depăşi limita bordurii cu:</t>
  </si>
  <si>
    <t>2m</t>
  </si>
  <si>
    <t>3m</t>
  </si>
  <si>
    <t>1m</t>
  </si>
  <si>
    <t xml:space="preserve"> Legăturile conductoarelor izolate se acoperă cu material electroizolant (de ex. tub varniş, bandă izolantă, capsule izolante etc):
</t>
  </si>
  <si>
    <t>numai dacă sunt accesibile</t>
  </si>
  <si>
    <t>opţional</t>
  </si>
  <si>
    <t>întotdeauna</t>
  </si>
  <si>
    <t xml:space="preserve"> Masă (a unui echipament sau element de construcţie)reprezintă:</t>
  </si>
  <si>
    <t>elemente conductoare din instalaţie aflate sub tensiune</t>
  </si>
  <si>
    <t>elemente izolante din instalaţie aflate în legătură cu pământul</t>
  </si>
  <si>
    <t>parte conductoare accesibilă a unui echipament, care poate fi atinsă şi care în mod normal nu se află sub tensiune, dar care poate fi pusă sub tensiune în urma unui defect a zolaţiei de bază.</t>
  </si>
  <si>
    <t xml:space="preserve"> Pe circuitele de alimentare ale dispozitivelor de stingere a incendiilor.</t>
  </si>
  <si>
    <t xml:space="preserve">se recomandă să se prevadă protecţia la suprasarcina </t>
  </si>
  <si>
    <t xml:space="preserve">se recomandă să nu se prevadă protecţia la suprasarcina </t>
  </si>
  <si>
    <t xml:space="preserve">este obligatoriu să se prevadă protecţia la suprasarcina </t>
  </si>
  <si>
    <t xml:space="preserve">se permite renunţarea la protecţia la scurtcircuit </t>
  </si>
  <si>
    <t xml:space="preserve">este obligatoriu să se prevadă protecţia la scurtcircuit </t>
  </si>
  <si>
    <t xml:space="preserve">în norme nu sunt prevederi speciale pentru protecția la scurtcircuit a circuitelor de acest tip  </t>
  </si>
  <si>
    <t xml:space="preserve"> Pentru realizarea prizelor de pământ se recomandă electrozi din </t>
  </si>
  <si>
    <t>bare rotunde, ţevi sau profil cruce</t>
  </si>
  <si>
    <t>conductele metalice pentru lichide inflamabile sau gaze.</t>
  </si>
  <si>
    <t xml:space="preserve">obiectele metalice cufundate în apă </t>
  </si>
  <si>
    <t xml:space="preserve"> Protecţia circuitelor împotriva supracurenţilor electrici, care se prevede pe toate conductoarele de fază, trebuie să producă deconectarea:
 </t>
  </si>
  <si>
    <t xml:space="preserve"> neapărat a tuturor conductoarelor active</t>
  </si>
  <si>
    <t>de regulă numai a conductorului în care este detectat supracurentul</t>
  </si>
  <si>
    <t>întotdeauna numai a conductorului în care este detectat supracurentul</t>
  </si>
  <si>
    <t xml:space="preserve"> Protecţia motoarelor electrice împotriva întreruperii sau scăderii tensiunii de alimentare şi restabilirea ei ulterioară este o protecţie:</t>
  </si>
  <si>
    <t>întotdeauna rapidă</t>
  </si>
  <si>
    <t>întotdeauna temporizată</t>
  </si>
  <si>
    <t>care poate fi temporizată în anumite  cazuri</t>
  </si>
  <si>
    <t xml:space="preserve"> Protecţia unui motor trifazat împotriva suprasarcinilor trebuie să fie prevăzută:
</t>
  </si>
  <si>
    <t>pe toate conductoarele de fază şi pe conductorul neutru</t>
  </si>
  <si>
    <t xml:space="preserve">pe două conductoare de fază </t>
  </si>
  <si>
    <t>pe toate conductoarele de fază</t>
  </si>
  <si>
    <t xml:space="preserve"> Reţea cu neutrul izolat este o reţea electrică al cărei punct neutru </t>
  </si>
  <si>
    <t>este legat la pământ printr-o rezistenţă sau reactanţă suficient de mică pentru a reduce oscilaţiile tranzitorii şi a îmbunătăţii condiţiile de funcţionare selectivă a protecţiei contra defectelor la pământ</t>
  </si>
  <si>
    <t>are o legătură cu pământul  realizată prin aparate de măsurare, de protecţie sau de semnalizare, având o impedanţă foarte mare</t>
  </si>
  <si>
    <t>nu trebuie să aibă  nici o legătură voită cu pământul</t>
  </si>
  <si>
    <t xml:space="preserve"> Reţea cu neutrul legat la pământ este o reţea electrică al cărei punct neutru </t>
  </si>
  <si>
    <t>este obligatoriu legat la pământ direct</t>
  </si>
  <si>
    <t xml:space="preserve"> Rezistenţa prizei de pământ a unei clădiri, atunci când este folosită numai pentru protecţia împotriva şocurilor electrice, trebuie să fie cel mult</t>
  </si>
  <si>
    <t xml:space="preserve"> 1 Ω</t>
  </si>
  <si>
    <t xml:space="preserve"> Schema electrică de conexiuni :</t>
  </si>
  <si>
    <t>trebuie să permită  întotdeauna separarea de lucru a unor părţi ale instalaţiei</t>
  </si>
  <si>
    <t xml:space="preserve"> trebuie să permită  separarea de lucru  pentru fiecare dintre elementele din schema electrică</t>
  </si>
  <si>
    <t>trebuie să permită separarea de lucru a unor părţi ale instalaţiei dacă acest lucru este necesar pentru executarea lucrărilor fără întreruperea funcţionării întregii instalaţii</t>
  </si>
  <si>
    <t xml:space="preserve"> Se admite ca părţi ale instalaţiei, care sunt în mod normal separate, să fie conectate pentru scurte intervale de timp (de exemplu, în cursul executării unor manevre), chiar dacă în aceste intervale de timp puterea de scurtcircuit depăşeşte valoare nominală pentru care este dimensionată instalaţia?. </t>
  </si>
  <si>
    <t>nu se admite</t>
  </si>
  <si>
    <t>se admite, dar în astfel de situaţii trebuie să se prevadă măsuri în vederea evitării eventualelor accidente de persoane în cazul unui scurtcircuit</t>
  </si>
  <si>
    <t>se admite, fară masuri speciale, având în vedere probabilitatea mică de producere a unui scurtcircuit în intervalul de timp respectiv</t>
  </si>
  <si>
    <t xml:space="preserve"> Se consideră atingere indirectă:
</t>
  </si>
  <si>
    <t>contactul nemijlocit sau prin intermediul unui element conductor al persoanelor sau animalelor domestice sau de crescătorie cu părţi active ale unei instalaţii electrice</t>
  </si>
  <si>
    <t>contactul persoanelor sau animalelor domestice sau de crescătorie cu părţi ale unei instalaţii electrice</t>
  </si>
  <si>
    <t>contact electric al persoanelor sau al animalelor cu părţile conductoare accesibile
puse sub tensiune ca urmare a unui defect.</t>
  </si>
  <si>
    <t xml:space="preserve"> Secţiunile conductoarelor de fază trebuie să fie corespunzătoare : </t>
  </si>
  <si>
    <t>tipului reţelei (LEA sau LES)</t>
  </si>
  <si>
    <t>din punct de vedere al stabilităţii termice în regim normal de lucru al receptoarelor</t>
  </si>
  <si>
    <t>numai din punct de vedere al căderii de tensiune</t>
  </si>
  <si>
    <t xml:space="preserve"> Separarea de lucru:  </t>
  </si>
  <si>
    <t xml:space="preserve"> trebuie să fie făcută, de regulă, pe toate părţile.</t>
  </si>
  <si>
    <t xml:space="preserve">nu se admite niciodată numai pe o singură parte (spre alimentare) </t>
  </si>
  <si>
    <t>obligatoriu pe toate părţile.</t>
  </si>
  <si>
    <t xml:space="preserve"> Tipurile de reţele în funcţie de modul de legare la pământ pentru tensiune alternativă sunt: 
</t>
  </si>
  <si>
    <t>TI, TT şi IT.</t>
  </si>
  <si>
    <t>TN, TI şi IT.</t>
  </si>
  <si>
    <t>TN, TT şi IT.</t>
  </si>
  <si>
    <t xml:space="preserve"> Tuburile şi ţevile metalice</t>
  </si>
  <si>
    <t xml:space="preserve"> nu se pot monta direct pe elementele de construcţie din materiale combustibile.</t>
  </si>
  <si>
    <t>se pot monta direct pe elementele de construcţie din materiale combustibile, condiționat.</t>
  </si>
  <si>
    <t>se pot monta direct pe elementele de construcţie din materiale combustibile</t>
  </si>
  <si>
    <t xml:space="preserve"> Utilizarea unei singure culori pentru toate conductoarele de fază ale unui circuit   </t>
  </si>
  <si>
    <t xml:space="preserve"> este permisă, cu marcarea corespunzătoare la cele două extremităţi</t>
  </si>
  <si>
    <t>este permisă dacă nu se folosește una dintre culorile verde sau galben</t>
  </si>
  <si>
    <t xml:space="preserve"> Valoarea curentului maxim admisibil într-un conductor în regim permanent de lucru depinde : </t>
  </si>
  <si>
    <t>de lungimea circuitului</t>
  </si>
  <si>
    <t xml:space="preserve"> de materialul conductorului</t>
  </si>
  <si>
    <t>numai de secţiunea conductorului</t>
  </si>
  <si>
    <t xml:space="preserve"> Valoarea curentului maxim admisibil într-un conductor în regim permanent de lucru depinde de: </t>
  </si>
  <si>
    <t xml:space="preserve">modul de montare </t>
  </si>
  <si>
    <t>numai de natura izolaţiei conductorului</t>
  </si>
  <si>
    <t>lungimea circuitului</t>
  </si>
  <si>
    <t xml:space="preserve"> Verificarea  valorilor rezistenţelor de dispersie ale prizelor de pământ ale stâlpilor LEA </t>
  </si>
  <si>
    <t>nu se face dacă s-au executat conform proiectului</t>
  </si>
  <si>
    <t>nu se face fiind inclusă constructiv în conductorul de nul al reţelei</t>
  </si>
  <si>
    <t>se face periodic prin măsurători</t>
  </si>
  <si>
    <t>. Atunci când un echipament nu conţine, prin construcţie, caracteristici corespunzătoare influenţelor externe ale locului  (sau amplasamentului):</t>
  </si>
  <si>
    <t xml:space="preserve"> el nu poate fi utilizat în instalația electrică </t>
  </si>
  <si>
    <t xml:space="preserve"> el poate fi totuşi utilizat cu condiţia ca instalația să fie montată în tub</t>
  </si>
  <si>
    <t xml:space="preserve"> el poate fi totuşi utilizat cu condiţia să fie prevăzut cu o protecţie suplimentară corespunzătoare la realizarea instalaţiei </t>
  </si>
  <si>
    <t>. Ca măsură de protecţie mărită se prevăd armături de protecţie împotriva arcului, :</t>
  </si>
  <si>
    <t xml:space="preserve"> la lanţurile de izolatoare ale LEA cu tensiunea nominală de 20 kV</t>
  </si>
  <si>
    <t xml:space="preserve">  la lanţurile de izolatoare ale LEA cu tensiunea nominală de 220 kV</t>
  </si>
  <si>
    <t>numai la lanţurile de izolatoare ale LEA cu tensiunea nominală de 400 kV</t>
  </si>
  <si>
    <t>. La traversarea LEA peste conducte supraterane fixe şi mobile, canale şi jgheaburi. conductoarele funie, active şi de protecţie, vor avea secţiunea minimă de:</t>
  </si>
  <si>
    <t>16 mmp</t>
  </si>
  <si>
    <t>25 mmp</t>
  </si>
  <si>
    <t>35 mmp</t>
  </si>
  <si>
    <t xml:space="preserve">Abrevierea TN-C  înseamnă </t>
  </si>
  <si>
    <t xml:space="preserve"> reţea cu punctul neutru al transformatorului legat la pământ şi masele legate la prize de pământ independente.
</t>
  </si>
  <si>
    <t xml:space="preserve"> reţea cu punctul neutru al transformatorului legat la pământ şi conductor cu funcţii comune: de protecţie şi neutru;</t>
  </si>
  <si>
    <t xml:space="preserve"> reţea cu punctul neutru al transformatorului legat la pământ şi conductoare distincte pentru funcţiile de protecţie şi neutru</t>
  </si>
  <si>
    <t xml:space="preserve">Abrevierea TN-S înseamnă </t>
  </si>
  <si>
    <t xml:space="preserve"> reţea cu punctul neutru al transformatorului legat la pământ şi masele legate la prize de pământ independente.</t>
  </si>
  <si>
    <t>reţea cu punctul neutru al transformatorului legat la pământ şi conductoare distincte pentru funcţiile de protecţie şi neutru;</t>
  </si>
  <si>
    <t xml:space="preserve">Abrevierea TT înseamnă </t>
  </si>
  <si>
    <t>reţea cu punctul neutru al transformatorului legat la pământ şi masele legate la prize de pământ independente.</t>
  </si>
  <si>
    <t>Accesoriile LEA joasă tensiune. (console, suporturi, armături) se protejează prin:</t>
  </si>
  <si>
    <t>vopsire</t>
  </si>
  <si>
    <t>smălţuire</t>
  </si>
  <si>
    <t>zincare</t>
  </si>
  <si>
    <t>Adâncimea de pozare în condiţii normale a cablurilor cu tensiunea nominală până la 20 kV inclusiv  va fi, de regulă, cel puţin de:</t>
  </si>
  <si>
    <t xml:space="preserve"> 0,5 … 0,6 m</t>
  </si>
  <si>
    <t xml:space="preserve"> 0,7 … 0,8 m</t>
  </si>
  <si>
    <t xml:space="preserve">  0,9 … 1,0 m</t>
  </si>
  <si>
    <t>Alegerea caracteristicilor dispozitivelor de protecţie în cazul motoarelor se face ţinându-se seama:</t>
  </si>
  <si>
    <t>numai de sarcinile în regim normal de funcţionare</t>
  </si>
  <si>
    <t>numai de sarcinile de pornire</t>
  </si>
  <si>
    <t>de simultaneitatea sarcinilor în regim normal şi de pornire</t>
  </si>
  <si>
    <t>Alegerea traseelor liniilor electrice aeriene trebuie să se bazeze pe o concepţie de dezvoltare şi sistematizare în perspectivă a reţelelor din zona respectivă, ţinând seama de o perspectivă de:</t>
  </si>
  <si>
    <t>5-10 ani</t>
  </si>
  <si>
    <t>10-15 ani</t>
  </si>
  <si>
    <t>până în 5 ani</t>
  </si>
  <si>
    <t>Alimentarea receptoarelor cu rol de securitate la incendiu trebuie asigurată:</t>
  </si>
  <si>
    <t>întotdeauna din două surse de alimentare independente</t>
  </si>
  <si>
    <t xml:space="preserve"> dintr-o singură sursă de alimentare, în anumite cazuri</t>
  </si>
  <si>
    <t>din una sau din două surse,  conform opţiunii consumatorului</t>
  </si>
  <si>
    <t xml:space="preserve">Alimentarea transformatorului de sonerie sau soneriei de 220(230) V se face:  . </t>
  </si>
  <si>
    <t>numai direct din tabloul de distribuţie</t>
  </si>
  <si>
    <t xml:space="preserve"> dintr-un circuit de iluminat normal</t>
  </si>
  <si>
    <t>numai dintr-un circuit de prize</t>
  </si>
  <si>
    <t xml:space="preserve"> direct din tabloul de distribuţie</t>
  </si>
  <si>
    <t xml:space="preserve"> numai dintr-un circuit de iluminat normal</t>
  </si>
  <si>
    <t>Amplasarea aparatelor cu ulei în interiorul tablourilor electrice:</t>
  </si>
  <si>
    <t>este permisă în anumite condiţii</t>
  </si>
  <si>
    <t>este permisă, dar nu se recomandă</t>
  </si>
  <si>
    <t>Amplasarea aparatelor, echipamentelor şi receptoarelor electrice în locuri în care ar putea fi expuse direct la apă, ulei, substanţe corozive, căldură sau şocuri mecanice:</t>
  </si>
  <si>
    <t>se admite</t>
  </si>
  <si>
    <t>Amplasarea aparatelor, echipamentelor şi receptoarelor electrice în locuri în care ar putea fi expuse la apă, ulei, substanţe corozive, căldură sau şocuri mecanice:</t>
  </si>
  <si>
    <t xml:space="preserve">Amplasarea instalaţiilor electrice de conexiuni şi distribuţie în interiorul încăperilor de cabluri: </t>
  </si>
  <si>
    <t>este interzisă, cu unele excepţii</t>
  </si>
  <si>
    <t>este permisă întotdeauna</t>
  </si>
  <si>
    <t>nu există în prescripţiile energetice o prevedere în acest sens</t>
  </si>
  <si>
    <t xml:space="preserve">Amplasarea instalaţiilor electrice pentru alimentarea unor consumatori, se face, </t>
  </si>
  <si>
    <t>întotdeauna în centrul de putere al amplasamentului</t>
  </si>
  <si>
    <t>de regulă, evitând utilizarea terenurilor agricole sau forestiere</t>
  </si>
  <si>
    <t>în toate cazurile pe terenuri aparţinând domeniului public</t>
  </si>
  <si>
    <t>Amplasarea instalaţiilor electrice sub conducte sau utilaje pe care poate să apară condens:</t>
  </si>
  <si>
    <t xml:space="preserve">se admite întotdeauna </t>
  </si>
  <si>
    <t>este total interzisă</t>
  </si>
  <si>
    <t>Amplasarea unor obiective faţă de o capacitate energetică la o distanţă mai mică decât distanţa de siguranţă sau în alte condiții de siguranță și de protecție decât cele reglementate în Norma tehnică privind delimitarea zonelor de protecţie şi de siguranţă aferente capacităţilor energetice</t>
  </si>
  <si>
    <t>se poate realiza, chiar fără efectuarea unei analize de risc, dacă părțile implicate sunt de acord</t>
  </si>
  <si>
    <t>se poate realiza pentru obiective care nu prezintă pericol de incendiu (având clasa de periculozitate P4 )</t>
  </si>
  <si>
    <t xml:space="preserve">este permisă cu acordul părților </t>
  </si>
  <si>
    <t xml:space="preserve">se poate realiza pe baza unei analize de risc, cu acordul tuturor părților implicate. </t>
  </si>
  <si>
    <t xml:space="preserve">Analiza de risc  este o documentațíe </t>
  </si>
  <si>
    <t>tehnică de analiză a impactului nerespectării condițiilor de coexistență reglementate.</t>
  </si>
  <si>
    <t>economică de analiză a impactului nerespectării condițiilor de coexistență reglementate.</t>
  </si>
  <si>
    <t>tehnico-economică de analiză a impactului nerespectării condițiilor de coexistență reglementate.</t>
  </si>
  <si>
    <t>Apropierea axului  LEA de joasă tensiune de construcţii în care se prelucrează sau depozitează substanţe combustibile, inflamabile sau cu pericol de incendiu (explozie):</t>
  </si>
  <si>
    <t>este interzisă la o  distanţa mai mică de 1,5 ori înălţimea deasupra solului a celui mai înalt stâlp din zonă</t>
  </si>
  <si>
    <t>este interzisă la o  distanţa mai mică de două ori înălţimea deasupra solului a celui mai înalt stâlp din zonă</t>
  </si>
  <si>
    <t>Apropierea LEA de un obiect oarecare este  o situație</t>
  </si>
  <si>
    <t xml:space="preserve"> în care obiectul este amplasat în afara culoarului LEA </t>
  </si>
  <si>
    <t xml:space="preserve"> de vecinătate în care LEA  încrucişează obiectul respectiv;</t>
  </si>
  <si>
    <t>de vecinătate în care LEA nu încrucişează obiectul respectiv;</t>
  </si>
  <si>
    <t xml:space="preserve">Armăturile de protecţie sunt dispozitive </t>
  </si>
  <si>
    <t>cu rol de uniformizare a câmpului electric în lungul lanţului de izolatoare</t>
  </si>
  <si>
    <t xml:space="preserve">numai cu rol de  reducere a perturbaţiilor electromagnetice </t>
  </si>
  <si>
    <t xml:space="preserve">cu rol de  protejare a stâlpilor LEA la loviturile directe de trăsnet </t>
  </si>
  <si>
    <t>cu rol de protejare a conductoarelor şi a suprafeţelor izolatoarelor contra atingerii directe cu arcul electric ce poate apărea datorită unor supratensiuni</t>
  </si>
  <si>
    <t xml:space="preserve"> protejare a stâlpilor LEA la loviturile directe de trăsnet </t>
  </si>
  <si>
    <t>Armăturile, clemele, piesele de fixare ale conductoarelor din centralele şi staţiile electrice se verifică la:</t>
  </si>
  <si>
    <t>arc electric</t>
  </si>
  <si>
    <t>solicitări electromagnetice</t>
  </si>
  <si>
    <t>solicitări mecanice şi termice</t>
  </si>
  <si>
    <t>Armăturile, clemele, piesele de fixare ale conductoarelor din centralele şi staţiile electrice, în condiţii de scurtcircuit:</t>
  </si>
  <si>
    <t>se verifică numai la solicitări mecanice</t>
  </si>
  <si>
    <t>se verifică la solicitări termice</t>
  </si>
  <si>
    <t>nu trebuie verificate la solicitări în condiţii de scurtcircuit</t>
  </si>
  <si>
    <t xml:space="preserve">Atunci când un dispozitiv de protecție  trebuie să deconecteze toate conductoarele active din circuitul corespondent, </t>
  </si>
  <si>
    <t>conductorul neutru trebuie să fie deconectat înaintea conductoarelor de fază</t>
  </si>
  <si>
    <t>conductorul neutru trebuie să fie deconectat simultan cu conductoarele de fază</t>
  </si>
  <si>
    <t>conductorul neutru trebuie să nu fie deconectat înaintea conductoarelor de fază</t>
  </si>
  <si>
    <t>Având în vedere experienţa acumulată până în prezent, pentru cazurile cele mai uzuale, în cazul cablurilor de 1 ÷ 10 kV se recomandă alegerea izolaţiei din:</t>
  </si>
  <si>
    <t xml:space="preserve">polietilenă (PE) </t>
  </si>
  <si>
    <t xml:space="preserve"> PVC</t>
  </si>
  <si>
    <t xml:space="preserve">de preferinţă polietilenă reticulată (XLPE), </t>
  </si>
  <si>
    <t>Bateriile de condensatoare de joasa tensiune se instalează, de regulă:</t>
  </si>
  <si>
    <t>în interior</t>
  </si>
  <si>
    <t xml:space="preserve"> în exterior</t>
  </si>
  <si>
    <t>indiferent, în interior sau exterior (în normele tehnice nu există o recomandare pentru un anumit mod de montare )</t>
  </si>
  <si>
    <t>Bateriile de condensatoare de joasa tensiune se recomanda sa se instaleze:</t>
  </si>
  <si>
    <t>Bateriile de condensatoare pot fi montate</t>
  </si>
  <si>
    <t>numai  în instalaţiile electrice de 0,4 kV</t>
  </si>
  <si>
    <t xml:space="preserve"> în instalaţiile electrice de        20 kV</t>
  </si>
  <si>
    <t>110 kV</t>
  </si>
  <si>
    <t>Branşamentul electric este partea din instalaţia de distribuţie a energiei electrice cuprinsă între linia electrică şi:</t>
  </si>
  <si>
    <t xml:space="preserve"> firida de branşament</t>
  </si>
  <si>
    <t xml:space="preserve"> coloana electrică</t>
  </si>
  <si>
    <t xml:space="preserve"> punctul de delimitare între distribuitor şi consumator, reprezentat de bornele contorului</t>
  </si>
  <si>
    <t>Ca măsură de protecţie mărită conductoarele LEA cu  tensiune nominală peste 1 kV  trebuie să aibă o secțiune de minimum</t>
  </si>
  <si>
    <r>
      <t xml:space="preserve"> 50 mm</t>
    </r>
    <r>
      <rPr>
        <vertAlign val="superscript"/>
        <sz val="11"/>
        <rFont val="Times New Roman"/>
        <family val="1"/>
      </rPr>
      <t>2</t>
    </r>
    <r>
      <rPr>
        <sz val="11"/>
        <rFont val="Times New Roman"/>
        <family val="1"/>
      </rPr>
      <t xml:space="preserve"> pentru funie Al-Ol
</t>
    </r>
  </si>
  <si>
    <r>
      <t>35 mm</t>
    </r>
    <r>
      <rPr>
        <vertAlign val="superscript"/>
        <sz val="11"/>
        <rFont val="Times New Roman"/>
        <family val="1"/>
      </rPr>
      <t>2</t>
    </r>
    <r>
      <rPr>
        <sz val="11"/>
        <rFont val="Times New Roman"/>
        <family val="1"/>
      </rPr>
      <t xml:space="preserve"> pentru funie Al-Ol
</t>
    </r>
  </si>
  <si>
    <r>
      <t>25 mm</t>
    </r>
    <r>
      <rPr>
        <vertAlign val="superscript"/>
        <sz val="11"/>
        <rFont val="Times New Roman"/>
        <family val="1"/>
      </rPr>
      <t xml:space="preserve">2 </t>
    </r>
    <r>
      <rPr>
        <sz val="11"/>
        <rFont val="Times New Roman"/>
        <family val="1"/>
      </rPr>
      <t>pentru funie Al-Ol</t>
    </r>
  </si>
  <si>
    <t>Cablurile cu funcţiuni diferite (de exemplu: energie, circuite secundare, telecomunicaţii):</t>
  </si>
  <si>
    <t xml:space="preserve"> se instalează întotdeauna  în tuburi diferite</t>
  </si>
  <si>
    <t>pot fi instalate în acelaşi tub cablurile care se rezervă reciproc</t>
  </si>
  <si>
    <t>Se admite să fie instalate în acelaşi tub, în anumite condiţii, numai cablurile care deservesc acelaşi aparat sau receptor</t>
  </si>
  <si>
    <t xml:space="preserve">Cablurile de energie cu ecran comun peste izolaţia conductoarelor (cu câmp neradial) se pot utiliza până la tensiunea de: </t>
  </si>
  <si>
    <t xml:space="preserve"> 6 kV inclusiv</t>
  </si>
  <si>
    <t xml:space="preserve"> 10 kV inclusiv</t>
  </si>
  <si>
    <t xml:space="preserve"> 20 kV inclusiv</t>
  </si>
  <si>
    <t>Cablurile de energie la circuitele care alimentează receptoare de importanţă deosebită, se prevăd cu conductoare de cupru atunci când secţiunea conductoarelor (din aluminiu) ar rezulta mai mică de :</t>
  </si>
  <si>
    <r>
      <t>16 mm</t>
    </r>
    <r>
      <rPr>
        <vertAlign val="superscript"/>
        <sz val="11"/>
        <rFont val="Times New Roman"/>
        <family val="1"/>
      </rPr>
      <t>2</t>
    </r>
  </si>
  <si>
    <r>
      <t>6 mm</t>
    </r>
    <r>
      <rPr>
        <vertAlign val="superscript"/>
        <sz val="11"/>
        <rFont val="Times New Roman"/>
        <family val="1"/>
      </rPr>
      <t>2</t>
    </r>
  </si>
  <si>
    <t>Cablurile electrice pozate în sol, în apropierea manşoanelor, trebuie protejate fata de acestea prin amplasarea lor la o distanta minima de:</t>
  </si>
  <si>
    <t xml:space="preserve"> 15 cm</t>
  </si>
  <si>
    <t xml:space="preserve"> 25 cm</t>
  </si>
  <si>
    <t xml:space="preserve"> 30 cm</t>
  </si>
  <si>
    <t>Căile de curent ce nu se pot realiza în execuţie etanşă, în încăperi şi în spaţii din exterior cu mediu coroziv, pot fi realizate întotdeauna din:</t>
  </si>
  <si>
    <t>Cu</t>
  </si>
  <si>
    <t>Al</t>
  </si>
  <si>
    <t>otel</t>
  </si>
  <si>
    <t>Căile de curent din instalaţiile electrice cu tensiunea nominala peste 1 kV se vor realiza, de regulă, din conductoare neizolate rigide</t>
  </si>
  <si>
    <t>în instalaţiile exterioare                 de 6-400 kV</t>
  </si>
  <si>
    <t>sub formă de bare în staţiile de 6-20 kV</t>
  </si>
  <si>
    <t>sub formă de ţevi în instalaţiile interioare de 220 kV</t>
  </si>
  <si>
    <t>Căile de curent din instalaţiile electrice de înaltă tensiune se vor realiza, de regulă, din conductoare neizolate flexibile în:</t>
  </si>
  <si>
    <t>instalaţiile exterioare de 6-400 kV</t>
  </si>
  <si>
    <t>staţiile de 6-20 kV</t>
  </si>
  <si>
    <t>instalaţiile interioare de 220 kV</t>
  </si>
  <si>
    <t>Calculul curenţilor de scurtcircuit în reţelele electrice cu tensiunea sub 1 kV se face considerând:</t>
  </si>
  <si>
    <t xml:space="preserve">valorile tensiunii de alimentare în banda normată </t>
  </si>
  <si>
    <t>impedanţele elementelor componente ale reţelei constante</t>
  </si>
  <si>
    <t>reţeaua de 110 kV buclată</t>
  </si>
  <si>
    <t>Calculul curenţilor de scurtcircuit în reţelele electrice cu tensiunea sub 1kV se face considerând:</t>
  </si>
  <si>
    <t>impedanţa pozitivă egală cu impedanţa negativă</t>
  </si>
  <si>
    <t>impedanţa pozitivă mai mare decât impedanţa negativă</t>
  </si>
  <si>
    <t>impedanţa pozitivă mai mică decât impedanţa negativă</t>
  </si>
  <si>
    <t>Calculul curenţilor de scurtcircuit în reţelele electrice cu tensiunea sub 1kV se face în următoarele condiţii:</t>
  </si>
  <si>
    <t>scurtcircuitul nu este departe de generator</t>
  </si>
  <si>
    <t>scurtcircuitul este aproape de generator</t>
  </si>
  <si>
    <t>scurtcircuitul este alimentat într-un singur punct al reţelei de alimentare cu energie electrică</t>
  </si>
  <si>
    <t>Când se montează cuţite de legare la pământ (fixe), în loc de scurtcircuitoare mobile?</t>
  </si>
  <si>
    <t>întotdeauna;</t>
  </si>
  <si>
    <t>atunci când distanţele de izolaţie fază - pământ sunt mari;</t>
  </si>
  <si>
    <t xml:space="preserve">atunci când curenţii care se închid prin pământ în caz de scurtcircuit sunt mici. </t>
  </si>
  <si>
    <t>Circuitele de joasă tensiune de curent alternativ, de curent continuu sau de tensiuni diferite</t>
  </si>
  <si>
    <t>nu pot fi grupate pe acelaşi panou (dulap)</t>
  </si>
  <si>
    <t>se recomandă să fie grupate pe acelaşi panou (dulap)</t>
  </si>
  <si>
    <t>pot fi grupate pe acelaşi panou (dulap), în anumite condiţii</t>
  </si>
  <si>
    <t xml:space="preserve">Circuitele iluminatului normal </t>
  </si>
  <si>
    <t>trebuie să fie distincte de circuitele de prize.</t>
  </si>
  <si>
    <t>poate fi un circuit comun pentru iluminat normal și prize dacă puterea totală instalată pe circuit nu depășește 2 kW</t>
  </si>
  <si>
    <t>poate fi un circuit comun pentru iluminat normal și prize dacă puterea totală instalată pe circuit nu depășește3 kW pe un circuit monofazat şi 8 kW pe un circuit trifazat</t>
  </si>
  <si>
    <t>Compensarea locală (individuală) a energiei reactive consumate se prevede .</t>
  </si>
  <si>
    <t>numai pentru receptoare inductive cu consum mare de putere reactivă şi cu funcţionare continuă</t>
  </si>
  <si>
    <t xml:space="preserve">numai pentru pentru receptoare de putere foarte mică, dar aflate în număr foarte mare </t>
  </si>
  <si>
    <t xml:space="preserve">pentru receptoare inductive cu consum mare de putere reactivă şi cu funcţionare continuă şi pentru cele de putere foarte mică, dar aflate în număr foarte mare </t>
  </si>
  <si>
    <t>Compensatoarele statice sau sincrone, pentru reglajul tensiunii şi puterii reactive, se vor instala:</t>
  </si>
  <si>
    <t>în staţiile de înaltă tensiune</t>
  </si>
  <si>
    <t>în staţiile de medie tensiune</t>
  </si>
  <si>
    <t>nu există nici o prevedere legală care să reglementeze acest aspect</t>
  </si>
  <si>
    <t xml:space="preserve">Condensatoarele legate direct la bornele receptoarelor de joasă tensiune: </t>
  </si>
  <si>
    <t>nu se prevăd cu dispozitive speciale de descărcare</t>
  </si>
  <si>
    <t>se prevăd cu dispozitive speciale de descărcare</t>
  </si>
  <si>
    <t>se prevăd cu dispozitive speciale de descărcare în anumite situații</t>
  </si>
  <si>
    <t>Conductoarele coloanelor electrice:</t>
  </si>
  <si>
    <t>trebuie sa aibă aceeaşi secţiune pe toata lungimea lor</t>
  </si>
  <si>
    <t>pot avea doua secţiuni dacă lungimea coloanelor depăşeşte 20m</t>
  </si>
  <si>
    <t>pot avea doua secţiuni dacă lungimea coloanelor depăşeşte 10m</t>
  </si>
  <si>
    <t xml:space="preserve">Conductorul de nul, la LEA cu conductoare neizolate:   </t>
  </si>
  <si>
    <t>se dispune în partea de sus a coronamentului, lângă stâlp</t>
  </si>
  <si>
    <t>se dispune în partea de jos a coronamentului, lângă stâlp</t>
  </si>
  <si>
    <t xml:space="preserve">nu are prevăzută prin normative o anumită dispunere </t>
  </si>
  <si>
    <t>Conductorul de protecţie al coloanelor electrice individuale trebuie să fie legat la pământ:</t>
  </si>
  <si>
    <t>la bara sau la borna de legare la pământ</t>
  </si>
  <si>
    <t>numai dacă rezistența de dispersie a prizei de pământ este mai mare de 4 Ω</t>
  </si>
  <si>
    <t>doar dacă secţiunea conductorului nu are valoare constantă pe toată lungimea coloanei</t>
  </si>
  <si>
    <t>în cazul firidelor de branşament, la bara de legare la pământ</t>
  </si>
  <si>
    <t>Conductorul neutru (N) trebuie să aibă aceeaşi secţiune cu conductorul de fază:</t>
  </si>
  <si>
    <r>
      <t>în circuitele monofazate cu două conductoare, numai dacă secţiunea conductoarelor este  mai mică sau egală cu 16 mm</t>
    </r>
    <r>
      <rPr>
        <vertAlign val="superscript"/>
        <sz val="11"/>
        <rFont val="Times New Roman"/>
        <family val="1"/>
      </rPr>
      <t>2</t>
    </r>
    <r>
      <rPr>
        <sz val="11"/>
        <rFont val="Times New Roman"/>
        <family val="1"/>
      </rPr>
      <t>Cu sau 25 mm</t>
    </r>
    <r>
      <rPr>
        <vertAlign val="superscript"/>
        <sz val="11"/>
        <rFont val="Times New Roman"/>
        <family val="1"/>
      </rPr>
      <t>2</t>
    </r>
    <r>
      <rPr>
        <sz val="11"/>
        <rFont val="Times New Roman"/>
        <family val="1"/>
      </rPr>
      <t>Al</t>
    </r>
  </si>
  <si>
    <r>
      <t>în circuitele monofazate cu trei conductoare şi în circuitele polifazate ale căror conductoare de fază au secţiunea mai mică sau egală cu 16 mm</t>
    </r>
    <r>
      <rPr>
        <vertAlign val="superscript"/>
        <sz val="11"/>
        <rFont val="Times New Roman"/>
        <family val="1"/>
      </rPr>
      <t>2</t>
    </r>
    <r>
      <rPr>
        <sz val="11"/>
        <rFont val="Times New Roman"/>
        <family val="1"/>
      </rPr>
      <t>Cu sau 25 mm</t>
    </r>
    <r>
      <rPr>
        <vertAlign val="superscript"/>
        <sz val="11"/>
        <rFont val="Times New Roman"/>
        <family val="1"/>
      </rPr>
      <t>2</t>
    </r>
    <r>
      <rPr>
        <sz val="11"/>
        <rFont val="Times New Roman"/>
        <family val="1"/>
      </rPr>
      <t>Al</t>
    </r>
  </si>
  <si>
    <t xml:space="preserve">în circuitele monofazate cu trei conductoare şi în circuitele polifazate indiferent de secţiunea conductoarelor de fază </t>
  </si>
  <si>
    <t xml:space="preserve">Conductorul neutru (N): </t>
  </si>
  <si>
    <t>este un conductor conectat electric la punctul neutru al sursei şi care poate contribui la distribuţia energiei electrice</t>
  </si>
  <si>
    <t xml:space="preserve">este un conductor conectat electric la punctul neutru al sursei şi care contribuie  la protecția contra atingerilor indirecte </t>
  </si>
  <si>
    <t xml:space="preserve">este un conductor conectat electric la punctul neutru al sursei şi care contribuie la distribuţia energiei electrice și la protecția contra atingerilor indirecte </t>
  </si>
  <si>
    <t>Conductorul neutru se leagă la dulia lămpii:</t>
  </si>
  <si>
    <t xml:space="preserve"> la borna din interior</t>
  </si>
  <si>
    <t xml:space="preserve"> la oricare dintre borne</t>
  </si>
  <si>
    <t xml:space="preserve"> la borna conectata la partea filetata a duliei</t>
  </si>
  <si>
    <t xml:space="preserve">Conform I 7, parte activă a unei instalaţii este: </t>
  </si>
  <si>
    <t>conductor sau parte conductoare destinată să fie pusă sub tensiune în funcţionare
normală</t>
  </si>
  <si>
    <t>conductorul neutru (N), numai în cazuri speciale</t>
  </si>
  <si>
    <t>conductorul PEN</t>
  </si>
  <si>
    <t>Conform I 7, parte conductoare accesibilă este:</t>
  </si>
  <si>
    <t>partea izolantă accesibilă a unui element de construcţie care poate fi atinsă,  şi care poate ajunge sub tensiune în caz de defect</t>
  </si>
  <si>
    <t>parte conductoare a unui echipament, care poate fi atinsă, şi care nu este în mod normal sub tensiune, dar care poate ajunge sub tensiune în cazul unui defect al izolaţiei de bază.</t>
  </si>
  <si>
    <t xml:space="preserve">Conform I7/2011, conductor de protecţie (PE)   </t>
  </si>
  <si>
    <t xml:space="preserve"> este un conductor prevăzut în linile aeriene de joasă tensiune pentru protecția împotriva loviturilor de trăsnet</t>
  </si>
  <si>
    <t xml:space="preserve">este un conductor prevăzut în scopuri de securitate, de exemplu protecţia împotriva şocurilor electrice. </t>
  </si>
  <si>
    <t>nu există conductor de protecție în instalațiile de joasă tensiune</t>
  </si>
  <si>
    <t xml:space="preserve">Conform normativului I7 - 2011, prin                ,, Pământ de referinţă " se înțelege 
</t>
  </si>
  <si>
    <t xml:space="preserve"> o parte a Pământului în contact electric cu o priză de pământ independentă </t>
  </si>
  <si>
    <t xml:space="preserve"> o parte a Pământului în contact electric cu o instalaţie de legare la pământ </t>
  </si>
  <si>
    <t xml:space="preserve">o  parte a Pământului considerată conductoare, al cărei potenţial electric prin convenţie este considerat egal cu zero, care este în afara zonei de influenţă a oricărei instalaţii de legare la pământ </t>
  </si>
  <si>
    <t xml:space="preserve">Conform normativului I-7-2011, alimentarea de securitate la un consumator este o alimentare prevăzută :    </t>
  </si>
  <si>
    <t>numai pentru menţinerea în funcţiune a echipamentelor şi instalaţiilor electrice importante pentru sănătatea şi securitatea persoanelor şi animalelor domestice</t>
  </si>
  <si>
    <t xml:space="preserve"> pentru menţinerea în funcţiune a echipamentelor şi instalaţiilor electrice importante pentru evitarea degradării mediului înconjurător</t>
  </si>
  <si>
    <t xml:space="preserve"> continuarea activității productive a instalațiilor tehnologice ale consumatorului respectiv </t>
  </si>
  <si>
    <t xml:space="preserve">Conform normativului I-7-2011, o coloană electrică  este un circuit electric care:   </t>
  </si>
  <si>
    <t>alimentează întotdeauna un singur  tablou de distribuţie.</t>
  </si>
  <si>
    <t xml:space="preserve"> alimentează un receptor de putere</t>
  </si>
  <si>
    <t>alimentează mai multe tablouri de distribuţie.</t>
  </si>
  <si>
    <t>Conform normativului I-7-2011, protecţia de bază  reprezintă:</t>
  </si>
  <si>
    <t>protecţia împotriva şocurilor electrice în absenţa defectului</t>
  </si>
  <si>
    <t xml:space="preserve"> protecţia care corespunde protecţiei împotriva atingerilor indirecte.</t>
  </si>
  <si>
    <t>protecţia împotriva şocurilor electrice în caz de defect</t>
  </si>
  <si>
    <t xml:space="preserve"> protecţia care corespunde protecţiei împotriva atingerilor directe.</t>
  </si>
  <si>
    <t xml:space="preserve">Conform normativului I-7-2011, protecţia în caz de defect  reprezintă:  </t>
  </si>
  <si>
    <t>o protecţie împotriva şocurilor electrice în condiţii de defect simplu.</t>
  </si>
  <si>
    <t>o măsură a protecției de bază.</t>
  </si>
  <si>
    <r>
      <t>Conform NTE 006/06/00, pentru calculul curenţilor de scurtcircuit trifazat simetric, în cazul unui scurtcircuit departe de generator, curentul de scurtcircuit iniţial I"</t>
    </r>
    <r>
      <rPr>
        <vertAlign val="subscript"/>
        <sz val="11"/>
        <rFont val="Times New Roman"/>
        <family val="1"/>
      </rPr>
      <t>k</t>
    </r>
    <r>
      <rPr>
        <sz val="11"/>
        <rFont val="Times New Roman"/>
        <family val="1"/>
      </rPr>
      <t xml:space="preserve"> :</t>
    </r>
  </si>
  <si>
    <r>
      <t>este mai mare decât curentul de scurtcircuit simetric de rupere I</t>
    </r>
    <r>
      <rPr>
        <vertAlign val="subscript"/>
        <sz val="11"/>
        <rFont val="Times New Roman"/>
        <family val="1"/>
      </rPr>
      <t>b</t>
    </r>
  </si>
  <si>
    <r>
      <t>este egal cu curentul de scurtcircuit permanent I</t>
    </r>
    <r>
      <rPr>
        <vertAlign val="subscript"/>
        <sz val="11"/>
        <rFont val="Times New Roman"/>
        <family val="1"/>
      </rPr>
      <t>k</t>
    </r>
  </si>
  <si>
    <t>este egal cu curentul de scurtcircuit de şoc</t>
  </si>
  <si>
    <t>Conform PE 134/1995 (Normativ privind metodologia de calcul al curenţilor de scurtcircuit în reţelele electrice cu tensiuni peste 1 kV), la calculul curenţilor de scurtcircuit în puncte cu tensiuni diferite:</t>
  </si>
  <si>
    <t>impedanţele în ohmi şi în unităţi relative se modifică</t>
  </si>
  <si>
    <t>impedanţele în ohmi şi în unităţi relative nu se modifică</t>
  </si>
  <si>
    <t>impedanţele în ohmi se modifică, dar impedanţele  în unităţi relative nu se modifică</t>
  </si>
  <si>
    <t xml:space="preserve">Construcţia unui post de transformare de reţea de tip interior se dimensionează corespunzător gabaritului unui transformator de:
</t>
  </si>
  <si>
    <t>400 kVA</t>
  </si>
  <si>
    <t>630 kVA</t>
  </si>
  <si>
    <t>1000 kVA</t>
  </si>
  <si>
    <r>
      <t>Contribuţia motoarelor asincrone, la curentul iniţial de scurtcircuit I"</t>
    </r>
    <r>
      <rPr>
        <vertAlign val="subscript"/>
        <sz val="11"/>
        <rFont val="Times New Roman"/>
        <family val="1"/>
      </rPr>
      <t>k</t>
    </r>
    <r>
      <rPr>
        <sz val="11"/>
        <rFont val="Times New Roman"/>
        <family val="1"/>
      </rPr>
      <t xml:space="preserve"> în cadrul reţelelor de joasă tensiune, poate fi neglijată dacă nu este mai mare de ....... din curentul de scurtcircuit iniţial calculat fără influenţa motoarelor:</t>
    </r>
  </si>
  <si>
    <t>Conturnarea inversă poate să se producă atunci când o lovitură de trăsnet</t>
  </si>
  <si>
    <t>a atins un conductor de fază şi a provocat o amorsare la un stâlp</t>
  </si>
  <si>
    <t>atinge două conductoare de fază</t>
  </si>
  <si>
    <t>numai atunci când o lovitură de trăsnet atinge direct stâlpul sau un conductor de protecţie (când el există)</t>
  </si>
  <si>
    <t xml:space="preserve">Corpurile de iluminat  care se instalează în depozite cu materiale combustibile, categoria  BE 2, trebuie să fie  întotdeauna:  </t>
  </si>
  <si>
    <t>echipate cu lămpi fluorescente</t>
  </si>
  <si>
    <t>prevăzute cu grătar protector</t>
  </si>
  <si>
    <t>prevăzute cu glob, respectiv cu difuzor</t>
  </si>
  <si>
    <t>Corpurile de iluminat echipate cu lămpi cu descărcări se prevăd în orice tip de încăpere cu:</t>
  </si>
  <si>
    <t>grătar protector</t>
  </si>
  <si>
    <t>dispozitiv pentru îmbunătăţirea factorului de putere</t>
  </si>
  <si>
    <t>difuzor</t>
  </si>
  <si>
    <t xml:space="preserve">Creşterea nivelului de izolaţie se poate realiza </t>
  </si>
  <si>
    <t>prin alegerea unui tip de stâlp corespunzător</t>
  </si>
  <si>
    <t>prin utilizarea de izolatoare cu caracteristici electrice superioare</t>
  </si>
  <si>
    <t>numai prin utilizarea de izolatoare cu aceleaşi caracteristici electrice şi prin mărirea numărului acestora pe ramură</t>
  </si>
  <si>
    <t>numai prin utilizarea de izolatoare cu caracteristici electrice superioare</t>
  </si>
  <si>
    <t>prin utilizarea de izolatoare cu aceleaşi caracteristici electrice şi prin mărirea numărului acestora pe ramură</t>
  </si>
  <si>
    <t>Cu ajutorul metodei componentelor simetrice se face:</t>
  </si>
  <si>
    <t xml:space="preserve"> numai calculul curenţilor de scurtcircuit simetrici</t>
  </si>
  <si>
    <t xml:space="preserve"> calculul curenţilor de scurtcircuit nesimetrici</t>
  </si>
  <si>
    <t xml:space="preserve"> calculul tensiunii reţelei</t>
  </si>
  <si>
    <t>Culoarea verde-galben pentru izolaţia conductoarelor si cablurilor se foloseşte pentru marcarea conductorului de:</t>
  </si>
  <si>
    <t>faza</t>
  </si>
  <si>
    <t>neutru de lucru</t>
  </si>
  <si>
    <t>de protecţie şi de neutru</t>
  </si>
  <si>
    <t xml:space="preserve">Curent nominal este un  </t>
  </si>
  <si>
    <t>curent electric destinat a fi transportat de un circuit în funcţionarea în regim de defect simplu un timp limitat</t>
  </si>
  <si>
    <t>curent electric destinat a fi transportat de un circuit în funcţionarea în regim de scurtcircuit un timp limitat</t>
  </si>
  <si>
    <t>curent electric destinat a fi transportat de un circuit în funcţionarea normală pe timp nelimitat</t>
  </si>
  <si>
    <t>Curentul admisibil  este</t>
  </si>
  <si>
    <t>valoarea maximă a curentului electric care poate parcurge în permanenţă un conductor, un dispozitiv sau un aparat, fără ca temperatura sa în regim permanent, în condiţii date, să fie superioară valorii specificate.</t>
  </si>
  <si>
    <t>valoarea maximă a curentului electric care poate parcurge un conductor, un dispozitiv sau un aparat, fără ca temperatura sa în regim de scurtcircuit să fie superioară valorii specificate.</t>
  </si>
  <si>
    <t xml:space="preserve"> valoarea maximă a curentului electric care poate parcurge în permanenţă un conductor, un dispozitiv sau un aparat, fără ca temperatura sa în condiţiile unei puneri la pământ, să fie superioară valorii specificate.</t>
  </si>
  <si>
    <t>Curentul de defect este definit în I-7-2011 ca fiind:</t>
  </si>
  <si>
    <t xml:space="preserve"> un curent electric care circulă ca urmare a unei suprasarcini</t>
  </si>
  <si>
    <t xml:space="preserve"> un curent electric care circulă ca urmare a unui defect de izolaţie.</t>
  </si>
  <si>
    <t xml:space="preserve"> un curent electric care circulă ca urmare a unui scurtcircuit trifazat</t>
  </si>
  <si>
    <t>Curentul de scurtcircuit permanent  reprezintă:</t>
  </si>
  <si>
    <t>valoarea efectivă a curentului de scurtcircuit care rămâne după trecerea fenomenelor tranzitorii</t>
  </si>
  <si>
    <t>curentul de scurtcircuit în momentul funcţionării protecţiei</t>
  </si>
  <si>
    <t>valoarea medie a curentului de scurtcircuit dintre momentul producerii scurtcircuitului şi momentul funcţionării protecţiei</t>
  </si>
  <si>
    <t>Curentul de scurtcircuit reprezintă:</t>
  </si>
  <si>
    <t>curentul nominal admisibil</t>
  </si>
  <si>
    <t>supracurentul rezultat dintr-un scurtcircuit datorat unei conectări incorecte într-un circuit electric</t>
  </si>
  <si>
    <t xml:space="preserve"> numai supracurentul rezultat în cazul dintr-un scurtcircuit datorat unui defect</t>
  </si>
  <si>
    <t xml:space="preserve">Dacă protecţia motoarelor contra suprasarcinilor este realizată cu întrerupere, dispozitivul de comutaţie trebuie să întrerupă obligatoriu: </t>
  </si>
  <si>
    <t xml:space="preserve"> toate conductoarele active</t>
  </si>
  <si>
    <t xml:space="preserve">conductorul neutru </t>
  </si>
  <si>
    <t xml:space="preserve"> toate conductoarele de fază</t>
  </si>
  <si>
    <t xml:space="preserve">Dacă tensiunea nominală a reţelei este sub 500V în tensiune alternativă şi tensiune continuă, ,,Mediu neconductor" reprezintă un spaţiu în care o persoană sau un animal care atinge o parte conductoare accesibilă care a devenit o parte activă periculoasă, este protejată printr-o impedanţă ridicată a mediului său (de exemplu pereţi sau pardoseli electroizolante) de cel puțin  
</t>
  </si>
  <si>
    <t xml:space="preserve">20 kΩ </t>
  </si>
  <si>
    <t xml:space="preserve">30 kΩ </t>
  </si>
  <si>
    <t xml:space="preserve">50 kΩ </t>
  </si>
  <si>
    <t xml:space="preserve">Dacă un stâlp de lemn al unei LEA de joasă tensiune (izolat faţă de pământ) şi nu este prevăzut cu priză de pământ, se ancorează:  </t>
  </si>
  <si>
    <t>ancora se leagă la priza de pământ a stâlpului</t>
  </si>
  <si>
    <t>se vor monta izolatori de ancoră</t>
  </si>
  <si>
    <t>proiectantul decide montarea  de izolatori de ancoră sau legarea ancorei la priza de pământ a stâlpului</t>
  </si>
  <si>
    <t>Deasupra încăperilor în care se pot afla simultan mai mult de 50 persoane:</t>
  </si>
  <si>
    <t>nu se amplasează transformatoare, indiferent de tipul izolaţiei</t>
  </si>
  <si>
    <t xml:space="preserve"> nu se amplasează transformatoare cu puteri peste 63 kVA</t>
  </si>
  <si>
    <t>se pot amplasa transformatoare cu izolaţie electrică uscată sau cu fluide incombustibile</t>
  </si>
  <si>
    <t>Dimensionarea conductoarelor circuitelor de alimentare în cazul motoarelor se face ţinându-se seama:</t>
  </si>
  <si>
    <t>Dimensionarea sau verificarea în condiţiile curenţilor de scurtcircuit a liniilor electrice aeriene cu tensiunea nominală mai mică de 110 kV:</t>
  </si>
  <si>
    <t>nu este obligatorie</t>
  </si>
  <si>
    <t>este obligatorie, indiferent de tensiunea nominală a liniei</t>
  </si>
  <si>
    <t>este obligatorie numai pentru liniile cu tensiune nominală mai mare de 20 kV</t>
  </si>
  <si>
    <t>Din punct de vedere al solicitărilor la scurtcircuit, cablurile electrice se verifică</t>
  </si>
  <si>
    <t>la solicitări electromagnetice</t>
  </si>
  <si>
    <t>la solicitări mecanice</t>
  </si>
  <si>
    <t>numai la efectele termice</t>
  </si>
  <si>
    <t xml:space="preserve">Din punct de vedere al solicitărilor la scurtcircuit, conductoarele rigide (bare, profile) se verifică </t>
  </si>
  <si>
    <t>numai la efecte termice</t>
  </si>
  <si>
    <t>Dispozitivele pentru suspendarea corpurilor de iluminat (cârlige, bolţuri, dibluri, etc) se aleg astfel încât să suporte fără deformări:</t>
  </si>
  <si>
    <t>peste 5 kg</t>
  </si>
  <si>
    <t>de 5 ori greutatea corpului de iluminat, dar nu mai puţin de 10 kg</t>
  </si>
  <si>
    <t>de 3 ori greutatea corpului de iluminat utilizat</t>
  </si>
  <si>
    <t xml:space="preserve">Dispozitivul de protecție la suprasarcină a motoarelor trifazate  nu va acţiona într-un interval de 2 ore la o valoare </t>
  </si>
  <si>
    <t>de 1,05 ori curentul reglat.</t>
  </si>
  <si>
    <t>de 1,25 ori curentul reglat</t>
  </si>
  <si>
    <t>de 1,20 ori curentul reglat</t>
  </si>
  <si>
    <t xml:space="preserve">Dispozitivul de protecție la suprasarcină a motoarelor trifazate  va acţiona în 2 ore sau mai puţin la o valoare  </t>
  </si>
  <si>
    <t>egală cu a curentului reglat</t>
  </si>
  <si>
    <t>de 1,05 ori curentul reglat</t>
  </si>
  <si>
    <t>Dispunerea barelor colectoare în tablourile de joasă tensiune se recomandă să se facă:</t>
  </si>
  <si>
    <t xml:space="preserve"> în plan vertical</t>
  </si>
  <si>
    <t xml:space="preserve"> în plan vertical, iar în cazuri bine motivate, în plan orizontal</t>
  </si>
  <si>
    <t xml:space="preserve"> în plan orizontal, iar în cazuri bine motivate în plan vertical</t>
  </si>
  <si>
    <t xml:space="preserve">Distanţa de izolare în aer între două părţi sub tensiune neizolate sau între acestea şi părţi legate la pământ este normată: </t>
  </si>
  <si>
    <t>în funcţie de tipul conductorului</t>
  </si>
  <si>
    <t>în funcţie de tensiunea pentru care se dimensionează instalaţia.</t>
  </si>
  <si>
    <t>tipul izolaţiei</t>
  </si>
  <si>
    <t>Distanţa dintre bornele de marcaj pe traseele rectilinii ale cablelor pozate în afara zonelor locuite din localităţi va fi de:</t>
  </si>
  <si>
    <t xml:space="preserve"> 100 m</t>
  </si>
  <si>
    <t xml:space="preserve"> 120 m</t>
  </si>
  <si>
    <t xml:space="preserve">  80 m</t>
  </si>
  <si>
    <t>Distanţa măsurată pe verticală între conductorul cel mai apropiat de arbori şi coronamentul arborilor, la deviaţia maximă a conductorului şi a coroanei arborilor sub acţiunea vântului şi/sau sub greutatea zăpezii şi în condiţii de săgeată maximă,   pentru LEA cu tensiunea de 20 kV , nu trebuie să fie mai mică decât:</t>
  </si>
  <si>
    <t>5 m</t>
  </si>
  <si>
    <t>1 m</t>
  </si>
  <si>
    <t>10 m</t>
  </si>
  <si>
    <t>Distanţa măsurată pe verticală între conductorul cel mai apropiat de arbori şi coronamentul arborilor, la deviaţia maximă a conductorului şi a coroanei arborilor sub acţiunea vântului şi/sau sub greutatea zăpezii şi în condiţii de săgeată maximă,   pentru LEA cu tensiunea de 110 kV , nu trebuie să fie mai mică decât: DIN 01.07.2025</t>
  </si>
  <si>
    <t>4 m</t>
  </si>
  <si>
    <t>Distanţa minimă de izolare în aer Ao reprezintă distanţa minima:</t>
  </si>
  <si>
    <t>între părţile conductoare rigide aflate sub tensiune si aparţinând unor faze diferite</t>
  </si>
  <si>
    <t>între părţile conductoare rigide aflate sub tensiune si elementele legate la pământ</t>
  </si>
  <si>
    <t>între partile conductoarelor flexibile sub tensiune si alte părţi sub tensiune sau legate la pământ</t>
  </si>
  <si>
    <t xml:space="preserve">Distanţa minimă pe verticală de la fasciculul torsadat al LEA joasă tensiune, montat pe stâlpi, în punctul de săgeată maximă, la sol, trebuie să fie de: </t>
  </si>
  <si>
    <t>3 m</t>
  </si>
  <si>
    <t>2,5 m</t>
  </si>
  <si>
    <t xml:space="preserve">Drept criteriu de siguranţă în dimensionarea reţelei de medie tensiune se va considera că timpul de întrerupere, în caz de avarie pe ambele căi de alimentare a unui consumator va fi ........ timpul necesar remedierii avariei pe una din căile de alimentare şi separării celeilalte căi avariate </t>
  </si>
  <si>
    <t>egal cu</t>
  </si>
  <si>
    <t>mai mic decât</t>
  </si>
  <si>
    <t>mai mare decât</t>
  </si>
  <si>
    <t>Drept criteriu de siguranţă în dimensionarea reţelei de medie tensiune se va considera că timpul de întrerupere, în caz de avarie simplă va fi ........ timpul necesar izolării elementului avariat şi realimentării tronsoanelor neafectate</t>
  </si>
  <si>
    <t>Este admisă racordarea prin prize la circuitul de alimentare al receptoarelor electrice cu putere nominală până la:</t>
  </si>
  <si>
    <t>0,5 kW</t>
  </si>
  <si>
    <t>1 kW</t>
  </si>
  <si>
    <t>2 kW</t>
  </si>
  <si>
    <t>Este obligatorie protecţia la suprasarcini pentru:</t>
  </si>
  <si>
    <t>instalaţii din încăperi din categoriile celor cu risc de incendiu sau de explozie</t>
  </si>
  <si>
    <t xml:space="preserve">instalaţii de comandă </t>
  </si>
  <si>
    <t>instalaţii de semnalizare</t>
  </si>
  <si>
    <t>Exceptând cazurile bine justificate, în zonele rurale, posturile de transformare de abonat vor fi:</t>
  </si>
  <si>
    <t>în clădire de zid</t>
  </si>
  <si>
    <t>de tip aerian</t>
  </si>
  <si>
    <t>nu are importanţă</t>
  </si>
  <si>
    <t>Exceptând cazurile justificate tehnic şi economic, reţelele aeriene de joasă tensiune vor fi realizate cu conductoare:</t>
  </si>
  <si>
    <t xml:space="preserve"> de aluminiu neizolate</t>
  </si>
  <si>
    <t xml:space="preserve"> izolate torsadate</t>
  </si>
  <si>
    <t>de OL-AL</t>
  </si>
  <si>
    <t xml:space="preserve">Fiecare conductor conectat la bara principală de legare la pământ la tabloul general: </t>
  </si>
  <si>
    <t>nu este obligatoriu să poată fi deconectat individual</t>
  </si>
  <si>
    <t>trebuie să poată fi deconectat uşor, fără utilizarea unei scule</t>
  </si>
  <si>
    <t>trebuie să poată fi deconectat individual</t>
  </si>
  <si>
    <t>Folosirea mijloacelor individuale de protecţie electroizolante certificate</t>
  </si>
  <si>
    <t xml:space="preserve">este o măsură tehnică pentru protecţia  de bază (la atingere directă) </t>
  </si>
  <si>
    <t xml:space="preserve">este o măsură administrativă pentru protecţia  de bază (la atingere directă) </t>
  </si>
  <si>
    <t>Fundaţiile burate ale stâlpilor din LEA de joasă tensiune se realizează:</t>
  </si>
  <si>
    <t>cu un strat de pământ bine compactat</t>
  </si>
  <si>
    <t>cu straturi de pământ succesive de 20 cm. pământ bine compactat</t>
  </si>
  <si>
    <t>cu straturi de pământ succesive de 40 cm. pământ bine compactat</t>
  </si>
  <si>
    <t>Fundaţiile de beton armat ale stâlpilor LEA peste 1 kV :</t>
  </si>
  <si>
    <t>nu sunt utilizate şi ca prize de pământ naturale ale stâlpilor</t>
  </si>
  <si>
    <t>sunt utilizate şi ca prize naturale ale stâlpilor, armăturile din fundaţii fiind conectate electric (sudate) unele de altele şi să fie legate electric la conductorul de protecţie (în cazul în care LEA este prevăzută cu conductor de protecţie) sau la stâlpul metalic sau la armătura stâlpului de beton.</t>
  </si>
  <si>
    <t xml:space="preserve">sunt utilizate şi ca prize naturale ale stâlpilor; conectarea electrică a armăturilor din fundaţii este opţională, în funcţie de caracteristicile terenului </t>
  </si>
  <si>
    <t>Îmbinarea conductoarelor din instalaţiile de înaltă tensiune se poate face:</t>
  </si>
  <si>
    <t>numai cu şuruburi</t>
  </si>
  <si>
    <t>prin lipire</t>
  </si>
  <si>
    <t>prin sudare</t>
  </si>
  <si>
    <t>Îmbinarea tuburilor de protecţie a conductoarelor electrice la trecerile prin elemente de construcţie este:</t>
  </si>
  <si>
    <t>admisă</t>
  </si>
  <si>
    <t>interzisă</t>
  </si>
  <si>
    <t>admisă doar pentru tuburi cu diametru mai mic de 16 mm</t>
  </si>
  <si>
    <t>În  reţeaua de joasă tensiune compensarea centralizată a puterii reactive va fi făcută, de regulă:</t>
  </si>
  <si>
    <t xml:space="preserve">  la nivelul posturilor de transformare
</t>
  </si>
  <si>
    <t>în punctele cu nivel de  tensiune scăzut</t>
  </si>
  <si>
    <t>nu  este prevăzută de reglementări</t>
  </si>
  <si>
    <t xml:space="preserve">În calculul curenţilor de scurtcircuit în reţelele electrice cu tensiunea sub 1kV </t>
  </si>
  <si>
    <t>sunt neglijate capacităţile liniilor</t>
  </si>
  <si>
    <t>impedanţele de scurtcircuit</t>
  </si>
  <si>
    <t>nu sunt neglijate admitanţele paralele (sarcinile)</t>
  </si>
  <si>
    <t>În calculul curenţilor de scurtcircuit în reţelele electrice cu tensiunea sub 1kV :</t>
  </si>
  <si>
    <t>nu sunt luate în considerare rezistenţele de contact</t>
  </si>
  <si>
    <t>sunt luate în considerare impedanţele de defect</t>
  </si>
  <si>
    <t xml:space="preserve">În calculul curenţilor de scurtcircuit, în cazul schemelor cu mai multe trepte de tensiune, cuplate prin transformatoare, impedanţele se raportează: </t>
  </si>
  <si>
    <t>fiecare impedanţă la treapta de tensiune corespunzătoare</t>
  </si>
  <si>
    <t>obligatoriu toate impedanţele la tensiunea la care are loc defectul</t>
  </si>
  <si>
    <t>de regulă  toate impedanţele la tensiunea la care are loc defectul</t>
  </si>
  <si>
    <t>În calculul curenţilor de scurtcircuit, pentru aparatele de comutaţie şi protecţie din circuitele electrice de joasă tensiune, valoarea reactanţei:</t>
  </si>
  <si>
    <t>este neglijabilă numai pentru aparate cu izolaţie în SF6</t>
  </si>
  <si>
    <t>este neglijabilă</t>
  </si>
  <si>
    <t>se calculează pe bază de formulă</t>
  </si>
  <si>
    <t>În calculul curenţilor de scurtcircuit, pentru valorile impedanţelor directă şi inversă:</t>
  </si>
  <si>
    <t>se admite întotdeauna egalitatea lor</t>
  </si>
  <si>
    <t>se admite egalitatea lor în cazul unui scurtcircuit aproape de generator</t>
  </si>
  <si>
    <t>se admite egalitatea lor în cazul unui scurtcircuit departe de generator</t>
  </si>
  <si>
    <t>In calculul curenţilor de scurtcircuit, valorile impedanţelor directă şi inversă diferă esenţial numai în cazul:</t>
  </si>
  <si>
    <t>cuptoarelor electrice cu arc</t>
  </si>
  <si>
    <t>maşinilor rotative</t>
  </si>
  <si>
    <t>transformatoarelor</t>
  </si>
  <si>
    <t>În camerele de copii din creşe, grădiniţe, spitale de copii, prizele trebuie montate pe pereţi la următoarele înălţimi măsurate de la axul aparatului la nivelul pardoselii finite:</t>
  </si>
  <si>
    <t>peste 1m</t>
  </si>
  <si>
    <t>peste 1,5 m</t>
  </si>
  <si>
    <t>peste 2m</t>
  </si>
  <si>
    <t>În cazul consumatorilor racordaţi direct la reţeaua de joasa tensiune a distribuitorului, pornirea directa a motoarelor monofazate se admite pentru o putere de până la:</t>
  </si>
  <si>
    <t xml:space="preserve"> 3 kW</t>
  </si>
  <si>
    <t xml:space="preserve"> 4 kW</t>
  </si>
  <si>
    <t>5,5 kW</t>
  </si>
  <si>
    <t>În cazul consumatorilor racordaţi direct la reţeaua de joasă tensiune a distribuitorului, pornirea directă a motoarelor trifazate se admite pentru o putere de până la:</t>
  </si>
  <si>
    <t>4 kW</t>
  </si>
  <si>
    <t xml:space="preserve"> 7,5 kW</t>
  </si>
  <si>
    <t>În cazul echipării stâlpilor liniilor electrice aeriene cu tensiuni mai mari de 1 kV, cu mai multe circuite, acestea:</t>
  </si>
  <si>
    <t>trebuie să aibă toate aceeaşi tensiune nominală</t>
  </si>
  <si>
    <t xml:space="preserve"> pot avea tensiuni nominale diferite</t>
  </si>
  <si>
    <t>pot avea tensiuni diferite nominale cu maximum 10% între ele</t>
  </si>
  <si>
    <t>În cazul existenței unei LEA, măsurile  de siguranţă  sunt măsurile care se iau:</t>
  </si>
  <si>
    <t>numai la LEA  pentru protejarea  liniei împotriva factorilor perturbatori (acţiunea agenţilor chimici, căderi de copaci, alunecări de teren, schimbări de cursuri de apă etc.)</t>
  </si>
  <si>
    <t xml:space="preserve"> atât la LEA, cât şi la elementele învecinate, pentru protejarea, pe de o parte, a liniei împotriva factorilor perturbatori , iar pe de altă parte protejarea instalaţiilor, construcţiilor etc., situate în vecinătatea liniei, precum şi a oamenilor şi animalelor care pot veni în contact cu părţile puse în mod accidental sub tensiune;</t>
  </si>
  <si>
    <t>numai la elementele învecinate LEA, pentru  protejarea instalaţiilor, construcţiilor etc., situate în vecinătatea liniei, precum şi a oamenilor şi animalelor care pot veni în contact cu părţile puse în mod accidental sub tensiune;</t>
  </si>
  <si>
    <t>În cazul în care temperatura minimă este sub valorile stabilite de norme, montarea aparatelor înglobate în echipamentul de joasă tensiune :</t>
  </si>
  <si>
    <t>se admite dacă se prevede o încălzire locală</t>
  </si>
  <si>
    <t>se admite în cazul în care aparatele au ulei</t>
  </si>
  <si>
    <t>În cazul încrucişărilor liniilor  cu tensiunea nominală peste 1000 V. pe stâlpi de lemn fără conductor de protecţie,  pentru ca distanţele între cele două linii, pe verticală și pe orizontală prevăzute de norme, să rămână valabile</t>
  </si>
  <si>
    <t xml:space="preserve"> trebuie: să se monteze descărcătoare numai pe stâlpii liniei care traversează, adiacenţi traversării </t>
  </si>
  <si>
    <t xml:space="preserve"> trebuie să se monteze descărcătoare pe stâlpii liniei traversate, adiacenţi traversării</t>
  </si>
  <si>
    <t xml:space="preserve"> când distanţa l (m) de la locul de încrucişare la axul celui mai apropiat stâlp al liniei care traversează este mai mică de 40m nu se montează descărcătoare</t>
  </si>
  <si>
    <t xml:space="preserve">În cazul încrucişărilor liniilor  cu tensiunea nominală peste 1000 V. pe stâlpi de lemn fără conductor de protecţie,  pentru ca distanţele între cele două linii, pe verticală și pe orizontală prevăzute de norme, să rămână valabile : </t>
  </si>
  <si>
    <t xml:space="preserve">trebuie să se monteze descărcătoare pe stâlpii liniei care traversează, adiacenţi traversării </t>
  </si>
  <si>
    <t>nu trebuie să se monteze descărcătoare pe stâlpii liniei traversate, adiacenţi traversării</t>
  </si>
  <si>
    <t xml:space="preserve"> când distanţa l (m) de la locul de încrucişare la axul celui mai apropiat stâlp al liniei care traversează este mai mică de 40 m nu se montează descărcătoare</t>
  </si>
  <si>
    <t xml:space="preserve">În cazul instalațiilor electrice de joasă tensiune, izolaţia de bază reprezintă:  </t>
  </si>
  <si>
    <t>Izolaţia care asigură protecţia la atingere indirectă</t>
  </si>
  <si>
    <t xml:space="preserve"> izolaţia părţilor active periculoase</t>
  </si>
  <si>
    <t xml:space="preserve"> izolaţia maselor</t>
  </si>
  <si>
    <t>În cazul producerii unui scurtcircuit departe de generator componenta periodică alternativă a curentului de scurtcircuit are o valoare efectivă:</t>
  </si>
  <si>
    <t>practic constantă pe toată durata scurtcircuitului</t>
  </si>
  <si>
    <t>variabilă în timp</t>
  </si>
  <si>
    <t>variabilă numai în prima parte a scurtcircuitului</t>
  </si>
  <si>
    <t>În cazul unui scurtcircuit aproape de generator trebuie determinate:</t>
  </si>
  <si>
    <t>valorile componentei alternative a curentului de scurtcircuit la timpul zero, în regim permanent, precum şi la timpul de rupere</t>
  </si>
  <si>
    <t>valoarea curentului de trecere</t>
  </si>
  <si>
    <t>numai curentul de scurtcircuit de şoc</t>
  </si>
  <si>
    <t>În cazul unui scurtcircuit aproape de generator, componenta periodică alternativă a curentului de scurtcircuit are o valoare efectivă:</t>
  </si>
  <si>
    <t xml:space="preserve"> practic constantă pe durata scurtcircuitului</t>
  </si>
  <si>
    <t>practic constantă pe durata scurtcircuitului numai dacă generatorul nu are reglaj automat de tensiune</t>
  </si>
  <si>
    <t>În cazul unui scurtcircuit aproape de generator, într-un sistem cu generatoare, posturi de transformare, motoare, etc., curentul de scurtcircuit permanent Ik este:</t>
  </si>
  <si>
    <t>mai mic decât curentul de scurtcircuit simetric de rupere Ib</t>
  </si>
  <si>
    <t>mai mare decât curentul de scurtcircuit simetric de rupere Ib</t>
  </si>
  <si>
    <t>egal cu curentul de scurtcircuit simetric de rupere Ib</t>
  </si>
  <si>
    <t>În cazul unui scurtcircuit departe de generator, de regulă prezintă interes:</t>
  </si>
  <si>
    <t>numai valoarea componentei simetrice de curent alternativ a curentului de scurtcircuit</t>
  </si>
  <si>
    <t>constanta de timp a componentei aperiodice a curentului de scurtcircuit</t>
  </si>
  <si>
    <t>valoarea de vârf a curentului de scurtcircuit</t>
  </si>
  <si>
    <t>În clădirile de locuit se prevăd în fiecare încăpere:</t>
  </si>
  <si>
    <t xml:space="preserve">cel mult două prize </t>
  </si>
  <si>
    <t xml:space="preserve">prize după necesităţi </t>
  </si>
  <si>
    <t>cel puţin trei prize</t>
  </si>
  <si>
    <t>În conformitate cu prevederile normelor tehnice, amplasarea  unor instalaţii cu tensiuni diferite ( până la şi peste 1 kV) în aceeaşi încăpere:</t>
  </si>
  <si>
    <t>este recomandată (pentru utilizarea corespunzătoare a spaţiului încăperii)</t>
  </si>
  <si>
    <t xml:space="preserve"> este  soluția adoptată de regulă </t>
  </si>
  <si>
    <t>este admisă în cazul în care exploatarea instalaţiilor electrice se face de către aceeaşi organizaţie</t>
  </si>
  <si>
    <t xml:space="preserve">În funcţie de dispunerea conductorului neutru şi a conductorului de protecţie reţelele de tip TN  se pot realiza: </t>
  </si>
  <si>
    <t xml:space="preserve">   numai schema TN - S </t>
  </si>
  <si>
    <t xml:space="preserve">  schema TN-C</t>
  </si>
  <si>
    <t>schema TN-S-C</t>
  </si>
  <si>
    <t>În funcţie de raportul R/X (în care R este partea reală, iar X, coeficientul părţii imaginare a impedanţei complexe a căii de scurtcircuit de la sursă la locul defectului) factorul pentru calculul valorii de vârf a curentului de scurtcircuit:</t>
  </si>
  <si>
    <t>creşte la scăderea raportului R/X</t>
  </si>
  <si>
    <t>creşte la creşterea raportului R/X</t>
  </si>
  <si>
    <t>nu depinde de raportul R/X</t>
  </si>
  <si>
    <t>În încăperi de locuit şi similare se recomandă ca traseele tuburilor orizontale pe pereţi să fie distanţate faţă de plafon la:</t>
  </si>
  <si>
    <t>0,5 m</t>
  </si>
  <si>
    <t>circa 0,3 m</t>
  </si>
  <si>
    <t>În încăperi în care se impun condiţii speciale de protecţie datorită utilizatorilor (copii, bolnavi mintal etc.), prizele trebuie să fie</t>
  </si>
  <si>
    <t>de tip special (de ex. cu obturatori)</t>
  </si>
  <si>
    <t>nu este obligatoriu să fie prevăzute cu dispozitive de protecţie diferenţială ≤ 30 mA</t>
  </si>
  <si>
    <t>montate îngropat</t>
  </si>
  <si>
    <t xml:space="preserve">de tip obișnuit </t>
  </si>
  <si>
    <t>prevăzute cu dispozitive de protecţie diferenţială ≤ 30 mA</t>
  </si>
  <si>
    <t>În încăperile de producţie electrică, conform prescripţiilor energetice aplicabile:</t>
  </si>
  <si>
    <t>este obligatorie prevederea iluminatului natural</t>
  </si>
  <si>
    <t>se poate prevedea iluminat natural şi artificial</t>
  </si>
  <si>
    <t>se poate prevedea iluminat natural cu luminatoare</t>
  </si>
  <si>
    <t>se admit luminatoare</t>
  </si>
  <si>
    <t>În încăperile de producţie, în instalaţiile cu tensiuni peste 1 kV:</t>
  </si>
  <si>
    <t xml:space="preserve"> se recomandă a se folosi numai aparate cu izo!aţie uscată sau din materiale incombustibile</t>
  </si>
  <si>
    <t xml:space="preserve"> nu se pot folosi întreruptoare de tipul cu ulei puţin</t>
  </si>
  <si>
    <t xml:space="preserve">nu există restricţii sau recomandări privind tipurile de aparataj ce urmează a fi folosit </t>
  </si>
  <si>
    <t xml:space="preserve">În instalaţia electrică de tip deschis persoanele sunt protejate împotriva atingerilor accidentale ale părţilor sub tensiune </t>
  </si>
  <si>
    <t>prin îngrădiri de protecţie</t>
  </si>
  <si>
    <t xml:space="preserve">prin modul constructiv de realizare a instalaţiei  </t>
  </si>
  <si>
    <t>numai prin amplasarea echipamentului la înălţime corespunzătoare, în zone inaccesibile atingerilor accidentale</t>
  </si>
  <si>
    <t>În instalaţia electrică de tip deschis persoanele sunt protejate împotriva atingerilor accidentale ale părţilor sub tensiune:</t>
  </si>
  <si>
    <t>prin amplasarea echipamentului la înălţime corespunzătoare, în zone inaccesibile atingerilor accidentale</t>
  </si>
  <si>
    <t>În instalaţiile de joasă tensiune aferente clădirilor, rezistenţa electrică a izolaţiei trebuie măsurată:</t>
  </si>
  <si>
    <t xml:space="preserve">numai între două conductoare active </t>
  </si>
  <si>
    <t xml:space="preserve"> numai între conductoarele active luate 2 câte 2 </t>
  </si>
  <si>
    <t xml:space="preserve">între conductoarele active şi conductorul de protecţie conectat la reţeaua de legare la pământ </t>
  </si>
  <si>
    <t xml:space="preserve">În instalaţiile electrice ale construcţiilor se utilizează oțelul sub formă de </t>
  </si>
  <si>
    <t>conductoare neizolate rigide (bare)</t>
  </si>
  <si>
    <t xml:space="preserve">conductoare izolate </t>
  </si>
  <si>
    <t xml:space="preserve">conductoare neizolate </t>
  </si>
  <si>
    <t xml:space="preserve">În instalaţiile electrice ale consumatorilor, pentru îmbunătăţirea factorului de putere, se utilizează </t>
  </si>
  <si>
    <t xml:space="preserve"> condensatoarele derivaţie</t>
  </si>
  <si>
    <t>condensatoarele serie fixe</t>
  </si>
  <si>
    <t>condensatoarele serie reglabile în trepte</t>
  </si>
  <si>
    <t xml:space="preserve">În instalaţiile electrice cu tensiune peste          1 kV, dublarea lanţurilor de izolatoare pentru suspendarea conductoarelor flexibile, </t>
  </si>
  <si>
    <t>este obligatorie la traversarea drumurilor şi căilor ferate</t>
  </si>
  <si>
    <t>este facultativă la traversarea barelor colectoare</t>
  </si>
  <si>
    <t>se prevede la traversarea canalizării localităţii</t>
  </si>
  <si>
    <t>În instalaţiile electrice pentru şantiere de construcţii şi de demolare, rezistenţa de dispersie a prizei de pământ şi rezistenţa conductoarelor de protecţie până la
receptor trebuie să fie de</t>
  </si>
  <si>
    <t>maximum 1Ω</t>
  </si>
  <si>
    <t>minimum 4Ω</t>
  </si>
  <si>
    <t xml:space="preserve"> maximum 4 Ω </t>
  </si>
  <si>
    <t>În LEA joasă tensiune se utilizează de regulă, stâlpi din:</t>
  </si>
  <si>
    <t>metal</t>
  </si>
  <si>
    <t>lemn</t>
  </si>
  <si>
    <t>beton armat, prefabricaţi</t>
  </si>
  <si>
    <t>În locuinţe se prevede câte un circuit de priză separat numai pentru receptoare cu puteri de peste:</t>
  </si>
  <si>
    <t>2,5 kW</t>
  </si>
  <si>
    <t>3 kW</t>
  </si>
  <si>
    <t>În reţelele cu neutrul izolat, curentul de scurtcircuit monofazat:</t>
  </si>
  <si>
    <t>se neglijează</t>
  </si>
  <si>
    <t>nu există</t>
  </si>
  <si>
    <t>În reţelele de medie tensiune vor fi prevăzute elemente de separare montate:</t>
  </si>
  <si>
    <t>numai la toate derivaţiile liniilor secundare din cele principale</t>
  </si>
  <si>
    <t>numai la derivaţiile lungi ale liniilor secundare din cele principale</t>
  </si>
  <si>
    <t xml:space="preserve">pe traseul liniilor principale
</t>
  </si>
  <si>
    <t>În reţelele electrice aeriene de înaltă tensiune, pentru calculul curenţilor de scurtcircuit, în toate schemele se neglijează:</t>
  </si>
  <si>
    <t xml:space="preserve"> rezistenţele reţelelor</t>
  </si>
  <si>
    <t xml:space="preserve"> reactanţele reţelelor</t>
  </si>
  <si>
    <t xml:space="preserve"> reactanţele capacitive ale reţelelor</t>
  </si>
  <si>
    <t xml:space="preserve">In România tensiunea nominala de joasă tensiune asigurata de reţeaua de distribuţie publică </t>
  </si>
  <si>
    <t>este monofazata 230 V şi trifazata 400/230V,                          în sistem TN-S</t>
  </si>
  <si>
    <t>este monofazata  400 V şi trifazata 690 V,                         în sistem TN-C</t>
  </si>
  <si>
    <t>este monofazata 230 V şi trifazata 400/230V,                           în sistem TN-C</t>
  </si>
  <si>
    <t xml:space="preserve">În situaţia în care un stâlp de beton al unei LEA de joasă tensiune se ancorează:  </t>
  </si>
  <si>
    <t>În staţii de 220 kV, utilizarea cuţitelor de legare la pământ este obligatorie :</t>
  </si>
  <si>
    <t>pe toate circuitele de linie;</t>
  </si>
  <si>
    <t>numai pe fiecare sistem de bare colectoare şi de ocolire;</t>
  </si>
  <si>
    <t xml:space="preserve">numai pentru legarea la pământ a oricărei zone de lucru cuprinse între separatorul de bare şi cel de linie. </t>
  </si>
  <si>
    <t>În staţii de 400 kV, utilizarea cuţitelor de legare la pământ este obligatorie:</t>
  </si>
  <si>
    <t>numai pe toate circuitele de linie;</t>
  </si>
  <si>
    <t>pe fiecare sistem de bare colectoare şi de ocolire;</t>
  </si>
  <si>
    <r>
      <t xml:space="preserve">În timpul scurtcircuitului bifazat </t>
    </r>
    <r>
      <rPr>
        <sz val="11"/>
        <rFont val="Times New Roman"/>
        <family val="1"/>
      </rPr>
      <t>în reţelele de joasă tensiune</t>
    </r>
    <r>
      <rPr>
        <sz val="11"/>
        <rFont val="Times New Roman"/>
        <family val="1"/>
        <charset val="238"/>
      </rPr>
      <t xml:space="preserve">, impedanţa de succesiune negativă este aproximativ egală cu impedanţa de succesiune pozitivă </t>
    </r>
  </si>
  <si>
    <t>chiar dacă scurtcircuitul este aproape de generator</t>
  </si>
  <si>
    <t xml:space="preserve"> numai în cazul în care scurtcircuitul apare:departe de generator</t>
  </si>
  <si>
    <t>indiferent unde apare scurtcircuitul, dar  numai dacă este cu punere la pământ</t>
  </si>
  <si>
    <t>În zonele urbane cu densitate mare a construcţiilor, reţelele de joasă tensiune vor fi proiectate:</t>
  </si>
  <si>
    <t>în cablu subteran</t>
  </si>
  <si>
    <t>aerian</t>
  </si>
  <si>
    <t>cu cheltuieli de investiţie minime</t>
  </si>
  <si>
    <t xml:space="preserve">Încadrarea în clasele de reacţie la foc şi rezistenţă la foc a materialelor se face în conformitate cu prevederile: </t>
  </si>
  <si>
    <t xml:space="preserve"> PE 102                           </t>
  </si>
  <si>
    <t xml:space="preserve">reglementărilor specifice   </t>
  </si>
  <si>
    <t xml:space="preserve"> normativului    I 7   </t>
  </si>
  <si>
    <t>Incintele staţiilor electrice pot fi prevăzute cu instalaţii electrice de iluminat folosind:</t>
  </si>
  <si>
    <t>lămpi cu vapori de sodiu</t>
  </si>
  <si>
    <t>lămpi cu incandescenţă</t>
  </si>
  <si>
    <t xml:space="preserve">exclusiv lămpi cu vapori de mercur </t>
  </si>
  <si>
    <t xml:space="preserve">Încrucişare a unei LEA cu un obiect oarecare se consideră  </t>
  </si>
  <si>
    <t>numai atunci când,  în proiecţie orizontală, cel puţin unul dintre conductoarele LEA, în poziţie normală, se intersectează cu obiectul respectiv;</t>
  </si>
  <si>
    <t xml:space="preserve">atunci când,  în proiecţie orizontală, cel puţin unul dintre conductoarele LEA, în poziţie deviată, se intersectează cu obiectul respectiv </t>
  </si>
  <si>
    <t xml:space="preserve"> în poziţie deviată se apropie sub distanța minimă normată față de obiectul respectiv;</t>
  </si>
  <si>
    <t>Îngrădirile de protecţie definitive, pline sau cu plasă, din incinta unei instalaţii electrice de înaltă tensiune, amplasate în exterior, trebuie să aibă înălţimea de cel puţin:</t>
  </si>
  <si>
    <t>1,5 m</t>
  </si>
  <si>
    <t>2 m</t>
  </si>
  <si>
    <t>Înnădirea cablurilor de comandă şi control</t>
  </si>
  <si>
    <t xml:space="preserve"> nu este permisă</t>
  </si>
  <si>
    <t xml:space="preserve"> este permisă pentru înlăturarea deranjamentelor cablurilor în funcţiune</t>
  </si>
  <si>
    <t xml:space="preserve"> este permisă numai când lungimea traseului este mai mare decât lungimea de fabricaţie a cablului respectiv</t>
  </si>
  <si>
    <t>Instalarea conductoarelor electrice în tuburi sau ţevi pozate în pământ:</t>
  </si>
  <si>
    <t>este admisă</t>
  </si>
  <si>
    <t>este admisă numai pentru conductoare de cupru</t>
  </si>
  <si>
    <t>Instalaţia de ventilaţie de avarie din încăperea unei instalaţii de distribuţie ce conţine echipamente cu volum mare de ulei:</t>
  </si>
  <si>
    <t>cuprinde cel puţin 3 ventilatoare</t>
  </si>
  <si>
    <t>trebuie să asigure într-o oră schimbarea unui volum de aer de 3 - 5 ori volumul încăperii</t>
  </si>
  <si>
    <t>cuprinde cel puţin 2 ventilatoare de mare putere</t>
  </si>
  <si>
    <t>Instalaţiile de legare la pământ ale liniilor electrice de medie tensiune vor fi proiectate din:</t>
  </si>
  <si>
    <t>oţel-aluminiu</t>
  </si>
  <si>
    <t>oţel galvanizat</t>
  </si>
  <si>
    <t>oţel</t>
  </si>
  <si>
    <t>Întrerupătoarele, comutatoarele şi butoanele de lumină se montează, faţă de nivelul pardoselii finite, la înălţimea de:</t>
  </si>
  <si>
    <t>1m de la axul aparatului</t>
  </si>
  <si>
    <t>(0,6-1,5) m de la axul aparatului</t>
  </si>
  <si>
    <t>1,5 m de la axul aparatului</t>
  </si>
  <si>
    <t>Întrerupătoarele, comutatoarele, şi butoanele de lumină trebuie montate:</t>
  </si>
  <si>
    <t>numai pe conductoarele de fază</t>
  </si>
  <si>
    <t>numai pe conductorul de nul</t>
  </si>
  <si>
    <t>pe fază sau pe nul, nu are importanţă</t>
  </si>
  <si>
    <t>Întreruperea conductorului de protecţie prin aparate de conectare:</t>
  </si>
  <si>
    <t xml:space="preserve"> este permisă</t>
  </si>
  <si>
    <t>nu este permisă</t>
  </si>
  <si>
    <t xml:space="preserve"> de regula nu este permisă, cu excepţia anumitor cazuri</t>
  </si>
  <si>
    <t xml:space="preserve">Într-o rețea de tip TN, atunci când secţiunea conductorului neutru este mai mica decât cea a conductoarelor de fază, </t>
  </si>
  <si>
    <t xml:space="preserve">este necesar să se prevadă o protecţie de supracurent pe conductorul neutru,  corespunzătoare secţiunii conductorului de fază. </t>
  </si>
  <si>
    <t xml:space="preserve">este necesar să se prevadă o protecţie de supracurent pe conductorul neutru,  corespunzătoare secţiunii acestui conductor. </t>
  </si>
  <si>
    <t xml:space="preserve"> nu este necesar să se prevadă o protecţie de supracurent pe conductorul neutru  </t>
  </si>
  <si>
    <t>Izolaţia dublă este .</t>
  </si>
  <si>
    <t xml:space="preserve"> izolaţie realizată prin utilizarea împreună a unei izolaţii de bază şi a unei izolaţii suplimentare</t>
  </si>
  <si>
    <t>izolaţia părţilor active periculoase care asigură un grad de protecţie împotriva şocurilor electrice, echivalent celui unei izolaţii duble</t>
  </si>
  <si>
    <t>izolaţia independentă prevăzută suplimentar faţă de izolaţia de bază, pentru protecţie în caz de defect.</t>
  </si>
  <si>
    <t>Izolaţia întărită este  .</t>
  </si>
  <si>
    <t>Izolatoarele din centralele şi staţiile electrice se verifică la:</t>
  </si>
  <si>
    <t>solicitări mecanice în condiţiile de scurtcircuit</t>
  </si>
  <si>
    <t>arcul electric</t>
  </si>
  <si>
    <t>La bateriile de condensatoare automatizate şi fracţionate puterea pe treaptă la joasă tensiune va fi de maximum:</t>
  </si>
  <si>
    <t xml:space="preserve"> 200 kVAr</t>
  </si>
  <si>
    <t xml:space="preserve"> 150 kVAr</t>
  </si>
  <si>
    <t xml:space="preserve"> 250 kVAr</t>
  </si>
  <si>
    <t>La bateriile de condensatoare automatizate şi fracţionate puterea pe treaptă la medie tensiune va fi cuprinsă între:</t>
  </si>
  <si>
    <t xml:space="preserve"> 250 şi 1000 kVAr</t>
  </si>
  <si>
    <t xml:space="preserve"> 1000 şi 4800 kVAr</t>
  </si>
  <si>
    <t xml:space="preserve">  500 şi 2000 kVAr</t>
  </si>
  <si>
    <t xml:space="preserve">La bateriile de condensatoare de joasă tensiune fracționabile cu trepte comutabile se prevăd dispozitive de descărcare: </t>
  </si>
  <si>
    <t>manuală</t>
  </si>
  <si>
    <t>automată</t>
  </si>
  <si>
    <t>manuală sau automată</t>
  </si>
  <si>
    <t>La calculul curenţilor de scurtcircuit, impedanţa consumatorilor racordaţi în paralel cu calea de scurtcircuit:</t>
  </si>
  <si>
    <t>de regulă, se neglijează</t>
  </si>
  <si>
    <t>se recomandă să se ţină seama de ea</t>
  </si>
  <si>
    <t>se are în vedere numai pentru consumatori cu puteri peste 10 MW</t>
  </si>
  <si>
    <t xml:space="preserve">La circuitele electrice de comandă, automatizare, măsurare şi semnalizare: </t>
  </si>
  <si>
    <t>se prevăd numai                                   conductoare din aluminiu</t>
  </si>
  <si>
    <t>se prevăd numai                                   conductoare din cupru</t>
  </si>
  <si>
    <t>se prevăd conductoare din aluminiu sau cupru</t>
  </si>
  <si>
    <t>La circuitele electrice pentru alimentarea receptoarelor de importanţă deosebită (receptoare din blocul operator al spitalelor, iluminat de siguranţă, etc) materialul conductoarelor este:</t>
  </si>
  <si>
    <t>întotdeauna aluminiu</t>
  </si>
  <si>
    <t xml:space="preserve"> întotdeauna cupru</t>
  </si>
  <si>
    <t xml:space="preserve">cupru sau aluminiu, condiţionat  </t>
  </si>
  <si>
    <t xml:space="preserve">La construcţia liniilor de 110, 220 şi 400 kV, în zonele cu depuneri importante de chiciură:
</t>
  </si>
  <si>
    <t xml:space="preserve">se va adopta cu prioritate aşezarea conductoarelor în plan vertical
</t>
  </si>
  <si>
    <t xml:space="preserve">se va adopta cu prioritate aşezarea conductoarelor în plan orizontal
</t>
  </si>
  <si>
    <t>reglementările nu fac precizări privind modul de așezare a conductoarelor</t>
  </si>
  <si>
    <t>La consumatorii alimentaţi din posturi de transformare proprii, puterea celui mai mare motor alimentat pe j.t., care porneşte direct, nu va depăşi:</t>
  </si>
  <si>
    <t>10 % din puterea transformatorului din care este alimentat</t>
  </si>
  <si>
    <t xml:space="preserve"> 20 % din puterea transformatorului din care este alimentat</t>
  </si>
  <si>
    <t>30 % din puterea transformatorului din care este alimentat</t>
  </si>
  <si>
    <t xml:space="preserve">La creşteriea  nivelului de izolaţie a izolatoarelor tip tijă ale LEA, prin adăugare de izolatoare tip capă-tijă, 
</t>
  </si>
  <si>
    <t>izolatoarele capă-tijă se montează la partea superioară a lanţului de izolatoare.</t>
  </si>
  <si>
    <t>izolatoarele capă-tijă se montează la partea inferioară a lanţului de izolatoare.</t>
  </si>
  <si>
    <t>izolatoarele capă-tijă se montează la partea superioară sau inferioară a lanţului de izolatoare.</t>
  </si>
  <si>
    <t>La determinarea încărcărilor normate pentru calculul mecanic al LEA de joasă tensiune. se ia în considerare:</t>
  </si>
  <si>
    <t>numai zona meteorologică şi tipul de amplasament</t>
  </si>
  <si>
    <t>presiunea dinamică de bază dată de vânt, valorile temperaturii aerului şi coeficienţii de corecţie a vitezei vântului şi grosimii stratului de chiciură</t>
  </si>
  <si>
    <t>doar greutatea unitară a fasciculului (conductoarelor)</t>
  </si>
  <si>
    <t>La determinarea valorii de vârf a curentului de scurtcircuit, dacă există aparate limitatoare de curent:</t>
  </si>
  <si>
    <t>se recomandă să se ţină seama de prezenţa acestor aparate</t>
  </si>
  <si>
    <t>este obligatoriu să se ţină seama de prezenţa acestor aparate</t>
  </si>
  <si>
    <t>nu există în norme o prevedere aplicabilă în această situaţie</t>
  </si>
  <si>
    <t xml:space="preserve">La dimensionare, din considerente mecanice, secţiunile minime ale conductoarelor LEA de joasă tensiune, neizolate, din oţel-aluminiu utilizate în alimentarea consumatorilor, vor fi: </t>
  </si>
  <si>
    <t>30 mmp</t>
  </si>
  <si>
    <t xml:space="preserve">La dimensionarea LEA cu stâlpi comuni pentru joasă şi medie tensiune, distanţa pe verticală între conductorul inferior al liniei de medie tensiune, la condiţia de săgeată maximă, şi conductorul superior al liniei de joasă tensiune </t>
  </si>
  <si>
    <t>poate fi mai mică de 2 m la o deschidere dintre stâlpi mai mare de 40 m</t>
  </si>
  <si>
    <t>nu va fi niciodată mai mică de 1,5 m</t>
  </si>
  <si>
    <t>va fi de minim 1 m, indiferent de deschiderea dintre stâlpi</t>
  </si>
  <si>
    <t>se stabileşte în funcţie de deschiderea dintre stâlpi</t>
  </si>
  <si>
    <t>nu va fi niciodată mai mică de      2 m</t>
  </si>
  <si>
    <t>La dimensionarea LEA cu stâlpi comuni pentru joasă şi medie tensiune:</t>
  </si>
  <si>
    <t>distanţa pe stâlp între elementele liniei de medie şi joasă tensiune va fi de minim 3 m</t>
  </si>
  <si>
    <t>distanţa pe stâlp între elementele liniei de medie şi joasă tensiune va fi de minim 1,5 m</t>
  </si>
  <si>
    <t>circuitul de medie tensiune  se montează sub  circuitul de joasă tensiune</t>
  </si>
  <si>
    <t>La dimensionarea LEA de 220 kV şi 400 kV, în cazul în care, pentru zona respectivă, s-au constatat condiţii meteorologice mai aspre decât cele menţionate în prescripţii, se vor lua în calcul condiţii corespunzătoare unei frecvenţe de:</t>
  </si>
  <si>
    <t>cel puţin odată la 10 ani</t>
  </si>
  <si>
    <t>cel puţin odată la 15 ani</t>
  </si>
  <si>
    <t>cel puţin odată la 20 ani</t>
  </si>
  <si>
    <t>La dimensionarea LEA de joasă tensiune. traversarea cu linia peste căi ferate în zona staţiilor, depourilor de locomotive, a atelierelor de material rulant:</t>
  </si>
  <si>
    <t>se face cu respectarea unei distanţe minime pe verticală de 7 m</t>
  </si>
  <si>
    <t>se admite în condiţii de siguranţă mărită</t>
  </si>
  <si>
    <t>La dimensionarea LEA joasă tensiune. cu două circuite cu conductoare izolate torsadate, distanţa minimă dintre fascicule</t>
  </si>
  <si>
    <t xml:space="preserve">  trebuie să fie  30 cm</t>
  </si>
  <si>
    <t>trebuie să fie  50 cm</t>
  </si>
  <si>
    <t>nu este normată</t>
  </si>
  <si>
    <t xml:space="preserve">La dimensionarea liniilor electrice de joasă tensiune, într-o anumită deschidere, ca ,,măsură de siguranţă": </t>
  </si>
  <si>
    <t>se prevede realizarea unor fundaţii speciale</t>
  </si>
  <si>
    <t>deschiderea nu va depăşi 90% din valoarea deschiderii calculate</t>
  </si>
  <si>
    <t>se prevede interzicerea înnădirii conductoarelor în deschiderea respectivă</t>
  </si>
  <si>
    <t>La dimensionarea sau verificarea liniilor electrice aeriene, din punct de vedere al solicitării termice în condiţiile curentului de scurtcircuit, pentru defecte cu punere la pământ, se recomandă luarea în considerare:</t>
  </si>
  <si>
    <t>numai a rezistenţei echivalente a instalaţiei de legare la pământ</t>
  </si>
  <si>
    <t>numai a rezistenţei arcului electric</t>
  </si>
  <si>
    <t>a rezistenţei echivalente la locul de defect</t>
  </si>
  <si>
    <t>La executarea unui terminal într-o reţea de cabluri, pentru rezerve se prevăd lungimi minime necesare refacerii:</t>
  </si>
  <si>
    <t>de trei ori a terminalului respectiv</t>
  </si>
  <si>
    <t>o singură dată a terminalului respectiv</t>
  </si>
  <si>
    <t>de două ori a terminalului respectiv</t>
  </si>
  <si>
    <t xml:space="preserve">La instalaţiile de peste   1 kV se admit separări de lucru fără întreruperea vizibilă a circuitului: </t>
  </si>
  <si>
    <t>la orice tip de instalaţie</t>
  </si>
  <si>
    <t>la instalaţiile capsulate, condiţionat</t>
  </si>
  <si>
    <t>numai la instalaţiile interioare de tip închis, condiţionat</t>
  </si>
  <si>
    <t xml:space="preserve">La instalaţiile de peste 1 kV se admit separări de lucru fără întreruperea vizibilă a circuitului: </t>
  </si>
  <si>
    <t>numai la instalaţiile capsulate, condiţionat</t>
  </si>
  <si>
    <t>la instalaţiile interioare de tip închis, condiţionat</t>
  </si>
  <si>
    <t xml:space="preserve">La instalaţiile electrice de putere secţiunile conductoarelor de fază trebuie să fie corespunzătoare : </t>
  </si>
  <si>
    <t xml:space="preserve">din punct de vedere al stabilităţii termice în regim de scurtă durată la pornire. </t>
  </si>
  <si>
    <t>tipului cicuitului de alimentare (aerian sau subteran)</t>
  </si>
  <si>
    <t>numai din punct de vedere al stabilităţii termice în regim de defect</t>
  </si>
  <si>
    <t>La LEA 110 kV cu izolatoare tip tijă, pentru realizarea creşterii nivelului de izolaţie determinat conform  NTE 001/03/00:</t>
  </si>
  <si>
    <t>Se adăugă un izolator tip capă-tijă</t>
  </si>
  <si>
    <t>Se adăugă două izolatoare tip capă-tijă</t>
  </si>
  <si>
    <t>Se adăugă trei izolatoarer tip capă-tijă</t>
  </si>
  <si>
    <t>La LEA 110 kV, pentru realizarea creşterii nivelului de izolaţie, numărul de izolatoare  tip capă-tijă dintr-un lanţ,  determinat conform  NTE 001/03/00  :</t>
  </si>
  <si>
    <t xml:space="preserve">se mărește cu două bucăți </t>
  </si>
  <si>
    <t>se mărește cu o bucată</t>
  </si>
  <si>
    <t xml:space="preserve">se mărește cu trei bucăți </t>
  </si>
  <si>
    <t>La LEA 220 kV cu izolatoare tip tijă, pentru realizarea creşterii nivelului de izolaţie determinat conform  NTE 001/03/00:</t>
  </si>
  <si>
    <t>La LEA 220 kV, pentru realizarea creşterii nivelului de izolaţie, numărul de izolatoare  tip capă-tijă dintr-un lanţ,  determinat conform  NTE 001/03/00  :</t>
  </si>
  <si>
    <t xml:space="preserve">se mărește cu o bucată </t>
  </si>
  <si>
    <t>se mărește cu două  bucăţi.</t>
  </si>
  <si>
    <t>se mărește cu trei  bucăţi.</t>
  </si>
  <si>
    <t>La LEA 400 kV cu izolatoare tip tijă, pentru realizarea creşterii nivelului de izolaţie determinat conform  NTE 001/03/00:</t>
  </si>
  <si>
    <t>La LEA 400 kV, pentru realizarea creşterii nivelului de izolaţie, numărul de izolatoare  tip capă-tijă dintr-un lanţ,  determinat conform  NTE 001/03/00  :</t>
  </si>
  <si>
    <t>La LEA cu tensiune peste 1000 V, se prevăd prize artificiale de pământ pentru dirijarea potenţialelor la:</t>
  </si>
  <si>
    <t>toţi stâlpii LEA din zonele cu circulaţie frecventă, dar numai dacă sunt comuni cu o LEA de joasă tensiune</t>
  </si>
  <si>
    <t>toţi stâlpii speciali ai LEA din zonele cu circulaţie redusă</t>
  </si>
  <si>
    <t>toţi stâlpii cu aparataj ai LEA din zonele cu circulaţie redusă</t>
  </si>
  <si>
    <t>toţi stâlpii LEA din zonele cu circulaţie frecventă</t>
  </si>
  <si>
    <t>stâlpii speciali ai LEA din zonele cu circulaţie redusă</t>
  </si>
  <si>
    <t>numai la stâlpii de traversare  ai LEA din zonele cu circulaţie redusă</t>
  </si>
  <si>
    <t>La LEA cu tensiuni nominale peste 1 kV ca măsură de protecţie mărită  se interzice înnădirea conductoarelor în deschidere</t>
  </si>
  <si>
    <t>numai la LEA cu izolatoare suport</t>
  </si>
  <si>
    <t>la LEA cu lanţuri de izolatoare</t>
  </si>
  <si>
    <t>dacă este mărit nivelul de izolație</t>
  </si>
  <si>
    <t>la LEA cu izolatoare suport</t>
  </si>
  <si>
    <t>numai la LEA cu lanţuri de izolatoare</t>
  </si>
  <si>
    <t>La liniile de 110 kV se va folosi:</t>
  </si>
  <si>
    <t xml:space="preserve">de regulă RARM </t>
  </si>
  <si>
    <t xml:space="preserve">întotdeauna RART </t>
  </si>
  <si>
    <t xml:space="preserve">în cazuri justificate RARM </t>
  </si>
  <si>
    <t>La liniile de 220 şi 400 kV:</t>
  </si>
  <si>
    <t xml:space="preserve"> se montează RART </t>
  </si>
  <si>
    <t xml:space="preserve">nu se montează RARM </t>
  </si>
  <si>
    <t>normele nu fac precizări privind dispozitivele de RAR care se montează</t>
  </si>
  <si>
    <t>La pozarea cablurilor de energie şi de comandă - control se va prevedea la cutiile terminale o rezervă de cablu având lungimea minimă:</t>
  </si>
  <si>
    <t xml:space="preserve"> necesară refacerii de două ori a cutiei terminale</t>
  </si>
  <si>
    <t xml:space="preserve"> necesară refacerii de trei ori a cutiei terminale</t>
  </si>
  <si>
    <t xml:space="preserve"> necesară refacerii o singură dată a cutiei terminale</t>
  </si>
  <si>
    <t>La realizarea planşeelor în coridoarele încăperilor de producţie electrică:</t>
  </si>
  <si>
    <t>nu se admit denivelări</t>
  </si>
  <si>
    <t xml:space="preserve">se admit denivelări de maxim 5% </t>
  </si>
  <si>
    <t>se admit denivelări de maxim 10%</t>
  </si>
  <si>
    <t>La realizarea tablourilor şi barelor de distribuţie de j.t., distanţa minimă de izolare în aer între piesele fixe sub tensiune ale diferitelor faze, precum şi între acestea şi părţi metalice legate la pământ trebuie să fie de cel puţin:</t>
  </si>
  <si>
    <t xml:space="preserve"> 10 mm</t>
  </si>
  <si>
    <t xml:space="preserve"> 15 mm</t>
  </si>
  <si>
    <t xml:space="preserve"> 20 mm</t>
  </si>
  <si>
    <t>La stabilirea zonei de protecţie a unui post de transformare se are  în vedere:</t>
  </si>
  <si>
    <t>nu se delimitează zona de protecţie a acestui tip de capacitate energetică</t>
  </si>
  <si>
    <t xml:space="preserve"> numărul de personal calificat alocat executării lucrărilor de mentenanţă</t>
  </si>
  <si>
    <t>tipul constructiv al acestuia</t>
  </si>
  <si>
    <t>La stabilirea zonei de siguranţă a unei staţii electrice se au în vedere:</t>
  </si>
  <si>
    <t>tensiunile nominale de contur</t>
  </si>
  <si>
    <t>nu se delimitează zona de siguranţă a acestui tip de capacitate energetică</t>
  </si>
  <si>
    <t>tensiunea cea mai înaltă din cadrul acesteia</t>
  </si>
  <si>
    <t xml:space="preserve">La staţiile de 110 kV de tip interior, peretele de separaţie între celule se va prevedea: </t>
  </si>
  <si>
    <t>realizat din plasă incombustibilă pe toată înălţimea celulei</t>
  </si>
  <si>
    <t>obligatoriu plin pe toată înălţimea celulei</t>
  </si>
  <si>
    <t>plin numai pentru înălţimea întreruptorului, restul putând fi realizat din plasă incombustibilă.</t>
  </si>
  <si>
    <t xml:space="preserve">La staţiile electrice </t>
  </si>
  <si>
    <t>nu se prevede iluminat perimetral</t>
  </si>
  <si>
    <t>este obligatorie prevedea iluminatului perimetral</t>
  </si>
  <si>
    <t xml:space="preserve">normele nu fac precizări privind iluminatul perimetral la staţiile electrice </t>
  </si>
  <si>
    <t>La trecerea prin planşee (in interior) sau la trecerea din pământ în aer (în exterior) cablurile montate în spatii de producţie sau cu pericol de deteriorări mecanice se protejează pe o înălţime de:</t>
  </si>
  <si>
    <t xml:space="preserve"> 1,5 m</t>
  </si>
  <si>
    <t xml:space="preserve"> 2m</t>
  </si>
  <si>
    <t xml:space="preserve">La verificarea stabilităţii termice la scurtcircuit a conductorului de oţel-aluminiu  al LEA se ia în considerare secţiunea: </t>
  </si>
  <si>
    <t>totală (echivalentă)</t>
  </si>
  <si>
    <t>numai a părţii de aluminiu</t>
  </si>
  <si>
    <t>părţii de oţel</t>
  </si>
  <si>
    <t>Lăţimile normate ale culoarelor de trecere pentru LEA simplu/dublu circuit pentru LEA cu tensiuni de 220 kV sunt de: PANA LA 01.07.2025</t>
  </si>
  <si>
    <t>55 m</t>
  </si>
  <si>
    <t xml:space="preserve"> 81 m</t>
  </si>
  <si>
    <t>25 m</t>
  </si>
  <si>
    <t>Legarea conductoarelor din cupru la aparate, maşini, elemente metalice fixe, se face    (de regulă) prin strângere mecanică cu şuruburi în cazul conductoarelor cu secţiuni mai mici sau egale cu:</t>
  </si>
  <si>
    <t xml:space="preserve"> 10 mmp</t>
  </si>
  <si>
    <t>6 mmp</t>
  </si>
  <si>
    <t xml:space="preserve">Legarea la pământ  reprezintă realizarea unei legături electrice  </t>
  </si>
  <si>
    <t>numai între un punct dat al unui echipament şi un pământ local.</t>
  </si>
  <si>
    <t xml:space="preserve"> numai între un punct dat al unei reţele şi un pământ local.</t>
  </si>
  <si>
    <t xml:space="preserve"> între un punct dat al unei reţele sau al unui echipament şi un pământ local.</t>
  </si>
  <si>
    <t>numai între un punct dat  al unei instalaţii electrice  şi un pământ local.</t>
  </si>
  <si>
    <t xml:space="preserve"> între un punct dat al unei reţele sau al unei instalaţii electrice  şi un pământ local.</t>
  </si>
  <si>
    <t>Legarea la pământ a celulelor de linie din instalaţiile cu tensiuni până la 20 kV inclusiv se realizează ;</t>
  </si>
  <si>
    <t>reglementările nu prevăd un anumit tip de dispozitiv pentru realizarea legării la pământ</t>
  </si>
  <si>
    <t xml:space="preserve">prin dispozitive fixe de legare la pământ </t>
  </si>
  <si>
    <t xml:space="preserve">cu scurtcircuitoare mobile, indiferent de mărimea curenţilor de scurtcircuit </t>
  </si>
  <si>
    <t>Legăturile barelor se execută:</t>
  </si>
  <si>
    <t>numai prin sudare</t>
  </si>
  <si>
    <t>numai cu ajutorul şuruburilor</t>
  </si>
  <si>
    <t>cu ajutorul şuruburilor, clemelor sau prin sudare</t>
  </si>
  <si>
    <t>Legăturile conductoarelor de protecţie trebuie executate:</t>
  </si>
  <si>
    <t>numai prin înşurubări, cu contrapiuliţe şi şaibă elastică</t>
  </si>
  <si>
    <t>prin sudare sau prin înşurubări cu contrapiuliţe şi inele de siguranţă (şaibă elastică)</t>
  </si>
  <si>
    <t>Legăturile conductoarelor din aluminiu pentru îmbinări sau derivaţii trebuie să se facă:</t>
  </si>
  <si>
    <t xml:space="preserve"> prin răsucire şi matisare</t>
  </si>
  <si>
    <t xml:space="preserve"> prin cleme speciale, prin presare cu scule speciale sau prin sudare</t>
  </si>
  <si>
    <t xml:space="preserve"> prin lipire cu cositor</t>
  </si>
  <si>
    <t>Legăturile electrice între conductoare izolate pentru îmbinări sau derivaţii se fac:</t>
  </si>
  <si>
    <t>în interiorul tuburilor sau ţevilor de protecţie</t>
  </si>
  <si>
    <t>în interiorul golurilor din elementele de construcţie</t>
  </si>
  <si>
    <t>numai în doze sau cutii de legătură</t>
  </si>
  <si>
    <t xml:space="preserve">Limitarea tensiunii de alimentare, care să nu depăşească limitele TFJ (conform  
recomandărilor din SR CEI / TS 61201) </t>
  </si>
  <si>
    <t xml:space="preserve">este o măsură organizatorică pentru protecţia  de bază (la atingere directă) </t>
  </si>
  <si>
    <t>Liniile electrice aeriene cu tensiunea nominală de 110 kV sau mai mare se verifică, în condiţiile curenţilor de scurtcircuit:</t>
  </si>
  <si>
    <t>de regulă, numai la efectele dinamice</t>
  </si>
  <si>
    <t>de regulă, numai la efectele termice</t>
  </si>
  <si>
    <t>întotdeauna la efectele termice şi dinamice</t>
  </si>
  <si>
    <t>Liniile electrice aeriene de medie tensiune principale sunt liniile care:</t>
  </si>
  <si>
    <t>alimentează consumatori importanţi</t>
  </si>
  <si>
    <t xml:space="preserve">sunt alimentate direct din surse </t>
  </si>
  <si>
    <t>nu depăşesc o lungime de 20 km</t>
  </si>
  <si>
    <t xml:space="preserve">Liniile electrice de joasă tensiune aeriene vor fi proiectate cu secţiuni:
</t>
  </si>
  <si>
    <t xml:space="preserve">descrescătoare spre capătul reţelei
</t>
  </si>
  <si>
    <t xml:space="preserve">constante pe toată lungimea reţelei
</t>
  </si>
  <si>
    <t xml:space="preserve">cât mai mari, pentru reducerea pierderilor de tensiune şi de energie în reţea
</t>
  </si>
  <si>
    <t xml:space="preserve">Liniile sub 110 kV vor fi echipate cu:
</t>
  </si>
  <si>
    <t xml:space="preserve">RART </t>
  </si>
  <si>
    <t xml:space="preserve">RARM </t>
  </si>
  <si>
    <t>RARM şi RART</t>
  </si>
  <si>
    <t xml:space="preserve">Marcarea conductorului neutru  care asigură simultan și funcţia de protecţie (PEN) se face
        </t>
  </si>
  <si>
    <t>cu  culoarea bleu                                 pe toată  lungimea</t>
  </si>
  <si>
    <t xml:space="preserve">prin culori verde/galben pe toată  lungimea </t>
  </si>
  <si>
    <t xml:space="preserve"> prin culori verde/galben pe toată  lungimea şi suplimentar marcare cu
     culoarea bleu la fiecare extremitate;
</t>
  </si>
  <si>
    <t>Marcarea conductorului neutru (N) se face:</t>
  </si>
  <si>
    <t>cu culoarea bleu                                   pe toată lungimea.</t>
  </si>
  <si>
    <t xml:space="preserve"> cu culoarea bleu                           la fiecare extremitate;</t>
  </si>
  <si>
    <t xml:space="preserve">Marimea de care depinde stabilitatea electrodinamica a unui aparat electric in caz de scurtcircuit este: </t>
  </si>
  <si>
    <t>puterea activa a circuitului pe care este instalat</t>
  </si>
  <si>
    <t xml:space="preserve">componenta periodica initiala a curentului de defect
  </t>
  </si>
  <si>
    <t>componenta periodica stabilizata a curentului de defect</t>
  </si>
  <si>
    <t>Masă (a unui echipament sau element de construcţie)reprezintă:</t>
  </si>
  <si>
    <t>Măsurile  de protecţie la LEA reprezintă  toate măsurile care se iau în condiţiile impuse de Norma tehnică privind delimitarea zonelor de protecţie şi de siguranţă aferente capacităţilor energetice pentru funcţionarea</t>
  </si>
  <si>
    <t xml:space="preserve"> atât în regim normal, cât şi în regim de avarie </t>
  </si>
  <si>
    <t xml:space="preserve"> numai în regim de normal</t>
  </si>
  <si>
    <t xml:space="preserve"> numai în regim de avarie</t>
  </si>
  <si>
    <t>Măsurile pentru evitarea contactului direct cu materialul combustibil al echipamentelor electrice cu grad de protecţie inferior IP54 se aplică:</t>
  </si>
  <si>
    <t>numai la montarea aparentă a elementelor de instalaţii electrice</t>
  </si>
  <si>
    <t>numai la montarea sub tencuială a elementelor de instalaţii electrice</t>
  </si>
  <si>
    <t xml:space="preserve">atât la montarea aparentă cât şi la montarea îngropată </t>
  </si>
  <si>
    <t>Montarea dozelor de trecere este obligatorie în cazul în care lungimea coloanelor în linie dreapta, pe orizontală, depăşeşte:</t>
  </si>
  <si>
    <t xml:space="preserve"> 10 m</t>
  </si>
  <si>
    <t>15 m</t>
  </si>
  <si>
    <t xml:space="preserve"> 20 m</t>
  </si>
  <si>
    <t>Montarea fasciculelor de conductoare izolate torsadate ale LEA joasă tensiune. pe elemente de  clădire din materiale combustibile:</t>
  </si>
  <si>
    <t>este întotdeauna interzisă</t>
  </si>
  <si>
    <t>este admisă condiţionat (dacă  între fascicul şi peretele combustibil se interpune un material incombustibil)</t>
  </si>
  <si>
    <t>este admisă necondiţionat</t>
  </si>
  <si>
    <t xml:space="preserve">Montarea în contact direct cu materiale combustibile se admite </t>
  </si>
  <si>
    <t xml:space="preserve">pentru toate tuburile şi plintele din materiale plastice </t>
  </si>
  <si>
    <t xml:space="preserve">pentru cabluri rezistente la foc și cu întârziere la propagarea flăcării </t>
  </si>
  <si>
    <t xml:space="preserve">nunai pentru echipamente electrice cu grad de protecţie minim IP 54. </t>
  </si>
  <si>
    <t>Montarea pe materiale combustibile a echipamentelor electrice cu grad de protecţie inferior IP54:</t>
  </si>
  <si>
    <t>este strict interzisă</t>
  </si>
  <si>
    <t>este admisă fără restricţii</t>
  </si>
  <si>
    <t>se face interpunând materiale incombustibile între acestea şi materialul combustibil sau elementele de distanţare</t>
  </si>
  <si>
    <t>Montarea siguranţelor de j.t.pe conductoarele instalaţiei de protecţie:</t>
  </si>
  <si>
    <t>este întotdeauna permisă</t>
  </si>
  <si>
    <t>este interzisă numai în cazul în care conductorul de protecţie este folosit drept conductor de nul</t>
  </si>
  <si>
    <t>Montarea tuburilor de protecţie a conductoarelor electrice de j.t. pe pardoseala combustibilă a podurilor:</t>
  </si>
  <si>
    <t>trebuie evitată; se poate face excepţie pentru tuburi metalice</t>
  </si>
  <si>
    <t>Montarea, pe conductoarele de protecţie, a unor elemente care pot produce întreruperea circuitului este:</t>
  </si>
  <si>
    <t>permisă în anumite condiţii</t>
  </si>
  <si>
    <t>la latitudinea consumatorului</t>
  </si>
  <si>
    <t>Motoarele electrice alimentate prin circuite separate trebuie prevăzute pe toate fazele:</t>
  </si>
  <si>
    <t>numai cu dispozitiv de protecţie la scurtcircuit, pentru puteri mai mici de 5 kW</t>
  </si>
  <si>
    <t>numai cu protecţie la suprasarcini, pentru puteri mai mici de 5 kW</t>
  </si>
  <si>
    <t>de regulă, cu dispozitive de protecţie la scurtcircuit şi dispozitive de protecţie la suprasarcină</t>
  </si>
  <si>
    <t>Neutrul reţelei de joasă tensiune va fi legat  la pământ:</t>
  </si>
  <si>
    <t>prin rezistenţă</t>
  </si>
  <si>
    <t>direct</t>
  </si>
  <si>
    <t>prin bobină de stingere</t>
  </si>
  <si>
    <t>Nivelul  de izolaţie mărit reprezintă</t>
  </si>
  <si>
    <t>creşterea nivelului de izolaţie a liniei faţă de nivelul normal de izolaţie cu 10% ;</t>
  </si>
  <si>
    <t>creşterea nivelului de izolaţie a liniei faţă de nivelul normal de izolaţie cu 20% ;</t>
  </si>
  <si>
    <t xml:space="preserve"> creşterea nivelului de izolaţie a liniei faţă de nivelul normal de izolaţie;</t>
  </si>
  <si>
    <t>Nivelul de izolaţie a cablurilor este caracterizat de valorile:</t>
  </si>
  <si>
    <t>doar ale tensiunilor nominale ale cablurilor</t>
  </si>
  <si>
    <t>doar ale rigidităţii dielectrice</t>
  </si>
  <si>
    <t>tensiunilor nominale ale cablurilor şi rigidităţii dielectrice</t>
  </si>
  <si>
    <t>Norma tehnică energetică - NTE 001- privind alegerea izolaţiei, coordonarea izolaţiei şi protecţia instalaţiilor electroenergetice de c.a. împotriva supratensiunilor se aplică:</t>
  </si>
  <si>
    <t>instalaţiilor electrice pentru tracţiunea electrică</t>
  </si>
  <si>
    <t>instalaţiilor electrice din medii explozive</t>
  </si>
  <si>
    <t>instalaţiilor electrice cu tensiunea nominală mai mare de 1000V</t>
  </si>
  <si>
    <t xml:space="preserve">Norma tehnică privind delimitarea zonelor de protecție și de siguranță aferente capacitățișor energetice  are drept scop stabilirea:
</t>
  </si>
  <si>
    <t xml:space="preserve">suprafeţelor de teren necesare construirii, exploatării şi mentenanţei liniilor aeriene de energie electrică. </t>
  </si>
  <si>
    <t xml:space="preserve">numai a culoarelor de trecere (de funcţionare), respectiv a zonelor de protecţie și de siguranţă ale liniilor electrice aeriene </t>
  </si>
  <si>
    <t>criteriilor de analiză a oportunităţii de construire a liniilor aeriene de energie electrică;</t>
  </si>
  <si>
    <t xml:space="preserve">numai a suprafeţelor de teren necesare construirii, exploatării şi mentenanţei liniilor aeriene de energie electrică. </t>
  </si>
  <si>
    <t xml:space="preserve">culoarelor de trecere (de funcţionare), respectiv a zonelor de protecţie și de siguranţă ale liniilor electrice aeriene </t>
  </si>
  <si>
    <t>Nu este obligatorie dimensionarea sau verificarea în condiţiile curenţilor de scurtcircuit a circuitelor  electrice cu tensiune nominală până la 1 kV inclusiv:</t>
  </si>
  <si>
    <t>dacă sunt prevăzute cu întreruptoare automate</t>
  </si>
  <si>
    <t>dacă sunt prevăzute cu întreruptoare manuale</t>
  </si>
  <si>
    <t>dacă sunt prevăzute cu siguranţe fuzibile</t>
  </si>
  <si>
    <t>Numărul maxim admis de posturi cu transformatoare cu ulei, înglobate în aceeaşi clădire civilă cu gradul de rezistenţă la foc I, II sau III, este de:</t>
  </si>
  <si>
    <t>un singur post de transformare, având cel mult două transformatoare cu ulei cu o putere maximă unitară de 1600 kVA</t>
  </si>
  <si>
    <t>două posturi de transformare, având fiecare cel mult două transformatoare cu ulei cu o putere maximă unitară de 1000 kVA</t>
  </si>
  <si>
    <t>trei posturi de transformare, având fiecare cel mult două transformatoare cu ulei cu o putere maximă unitară de 400 kVA</t>
  </si>
  <si>
    <t>Ordinea de aşezare a cablurilor pe rastele, pe grupe de tensiune, de sus în jos, este:</t>
  </si>
  <si>
    <t xml:space="preserve"> comanda control, energie 0,4 kV, energie 6/ 10 kV, energie 20 kV</t>
  </si>
  <si>
    <t xml:space="preserve"> comanda control, energie 20 kV, energie 6/ 10 kV, energie 0,4 kV</t>
  </si>
  <si>
    <t xml:space="preserve"> energie 20 kV, energie 10/ 6kV, energie 0,4 kV, comanda-control</t>
  </si>
  <si>
    <t xml:space="preserve">Părţile conductoare străine </t>
  </si>
  <si>
    <t xml:space="preserve">pot fi utilizate drept conductoare PEN în tensiune alternativă </t>
  </si>
  <si>
    <t xml:space="preserve">pot fi utilizate, în anumite condiții, drept conductoare PEN în tensiune alternativă </t>
  </si>
  <si>
    <t xml:space="preserve">nu trebuie utilizate drept conductoare PEN în tensiune alternativă </t>
  </si>
  <si>
    <t>Pe circuitele secundare ale transformatoarelor de curent:</t>
  </si>
  <si>
    <t>este obligatoriu să se prevadă protecţia la suprasarcină</t>
  </si>
  <si>
    <t>se recomandă să nu se prevadă protecţia la suprasarcina</t>
  </si>
  <si>
    <t xml:space="preserve">este obligatoriu să se prevadă protecţia la scutcircuit </t>
  </si>
  <si>
    <t xml:space="preserve">Pe un circuit   care alimentează mai multe receptoare electrice de putere de aceeaşi natură şi destinaţie </t>
  </si>
  <si>
    <t xml:space="preserve">nu se prevede protecție comună la scurtcircuit </t>
  </si>
  <si>
    <t>nu se prevede protecție comună la suprasarcină</t>
  </si>
  <si>
    <t>se prevede protecție la suprasarcină dacă puterea totală instalată a acestor receptoare  depăşeşte 16 kW</t>
  </si>
  <si>
    <t>Pentru asigurarea selectivităţii, între curenţii nominali ai fuzibilelor a două siguranţe consecutive, diferenţa trebuie să fie de cel puţin:</t>
  </si>
  <si>
    <t xml:space="preserve">doua trepte </t>
  </si>
  <si>
    <t>o treapta</t>
  </si>
  <si>
    <t>trei trepte</t>
  </si>
  <si>
    <t>Pentru cablurile cu tensiuni cuprinse între 10 - 30 kV se recomanda alegerea izolaţiei, de preferinţă,  din:</t>
  </si>
  <si>
    <t xml:space="preserve"> polietilena reticulata (XLPE)</t>
  </si>
  <si>
    <t xml:space="preserve"> polietilena</t>
  </si>
  <si>
    <t>Pentru calculul curenţilor de scurtcircuit, în cazul exprimării în unităţi relative, toate impedanţele trebuie :</t>
  </si>
  <si>
    <t xml:space="preserve">exprimate în Ω   </t>
  </si>
  <si>
    <t>raportate la acelaşi curent</t>
  </si>
  <si>
    <t>raportate la aceeaşi putere de bază şi tensiune de bază</t>
  </si>
  <si>
    <t xml:space="preserve">Pentru calculul curenţilor de scurtcircuit, susceptanţa capacitivă a liniilor </t>
  </si>
  <si>
    <t>se neglijează în schemele de secvenţă homopolară</t>
  </si>
  <si>
    <t>se neglijează în schemele de secvenţă directă</t>
  </si>
  <si>
    <t>nu se neglijează în schemele de secvenţă inversă</t>
  </si>
  <si>
    <t xml:space="preserve">Pentru circuite monofazate, conductorul neutru (N) va avea: </t>
  </si>
  <si>
    <t>aceeaşi secţiune ca şi conductorul de fază</t>
  </si>
  <si>
    <t>aceeaşi secţiune ca şi conductorul de fază, numai pentru conductoare de cupru</t>
  </si>
  <si>
    <t>aceeaşi secţiune ca şi conductorul de fază, numai pentru conductoare de aluminiu</t>
  </si>
  <si>
    <t>Pentru compensarea puterii reactive în reţelele electrice de medie tensiune, numărul de trepte al bateriei de condensatoare va fi astfel determinat încât şocul de tensiune ce apare pe barele de medie tensiune să nu depăşească:</t>
  </si>
  <si>
    <t>Pentru construcţia liniilor de 110, 220 şi 400 kV, simplu şi dublu circuit:</t>
  </si>
  <si>
    <t>se poate adopta orice aşezare a conductoarelor pe stâlpi</t>
  </si>
  <si>
    <t xml:space="preserve">nu se recomandă aşezarea conductoarelor în plan orizontal </t>
  </si>
  <si>
    <t>normele tehnice nu fac precizări privind modul de aşezare a conductoarelor</t>
  </si>
  <si>
    <t>Pentru consumatorii care prezintă regim deformant sau fluctuaţii rapide de sarcină (fliker), se recomandă utilizarea de:</t>
  </si>
  <si>
    <t>baterii de condensatoare fracţionate</t>
  </si>
  <si>
    <t>surse statice de putere reactivă reglabile cu tiristoare</t>
  </si>
  <si>
    <t xml:space="preserve"> motoare sincrone</t>
  </si>
  <si>
    <t xml:space="preserve">Pentru dimensionarea LEA 110 kV, în cazul în care, pentru zona respectivă s-au constatat condiţii meteorologice mai aspre decât cele menţionate în prescripţii, se vor lua în calcul condiţii corespunzătoare unei frecvenţe de:
</t>
  </si>
  <si>
    <t>cel puţin odată la 5 ani</t>
  </si>
  <si>
    <t>Pentru dimensionarea sau verificarea aparatelor electrice  la solicitări mecanice în cazul  curenţilor de scurtcircuit, se ia în considerare:</t>
  </si>
  <si>
    <t>curentul dinamic nominal</t>
  </si>
  <si>
    <t>curentul de scurtcircuit termic echivalent</t>
  </si>
  <si>
    <t>valoarea stabilizată a curentului de scurtcircuit</t>
  </si>
  <si>
    <t>Pentru dimensionarea sau verificarea diferitelor elemente ale instalaţiilor electrice la efectele mecanice ale curentului de scurtcircuit, se ia în considerare:</t>
  </si>
  <si>
    <t>valoarea la vârf a curentului de scurtcircuit</t>
  </si>
  <si>
    <t xml:space="preserve">Pentru instalaţiile electrice de iluminat şi putere (forţă): </t>
  </si>
  <si>
    <t xml:space="preserve">se prevede întotdeauna tablou electric de distribuţie comun </t>
  </si>
  <si>
    <t xml:space="preserve">se prevăd întotdeauna tablouri electrice  de distribuţie diferite </t>
  </si>
  <si>
    <t>se prevede tablou electric de distribuţie comun, cu unele excepţii:</t>
  </si>
  <si>
    <t>Pentru limitarea solicitărilor termice ale echipamentelor şi căilor parcurse de curenţii de scurtcircuit, în cazul reţelelor de 110 kV, timpul de acţionare a protecţiilor nu trebuie să depăşească:</t>
  </si>
  <si>
    <t>2,5 s</t>
  </si>
  <si>
    <t>1,5 s</t>
  </si>
  <si>
    <t>1,0 s</t>
  </si>
  <si>
    <t>Pentru limitarea solicitărilor termice ale echipamentelor şi căilor parcurse de curenţii de scurtcircuit, în cazul reţelelor de 220 şi 400 kV, timpul de acţionare a protecţiilor nu trebuie să depăşească:</t>
  </si>
  <si>
    <t>Pentru limitarea solicitărilor termice ale echipamentelor şi căilor parcurse de curenţii de scurtcircuit, în cazul reţelelor până la 110 kV, timpul de acţionare a protecţiilor nu trebuie să depăşească:</t>
  </si>
  <si>
    <t xml:space="preserve">Pentru motoarele monofazate, protecţia contra suprasarcinilor se face: </t>
  </si>
  <si>
    <t xml:space="preserve">obligatoriu pe conductorul de fază </t>
  </si>
  <si>
    <t>obligatoriu pe conductorul neutru</t>
  </si>
  <si>
    <t>opţional pentru motoare mai mici de 1,1 kW</t>
  </si>
  <si>
    <t>Pentru orice tip de post de transformare, punct de alimentare, cabine de secţionare prevăzute cu echipament uscat, zona de protecţie şi zona de siguranţă:</t>
  </si>
  <si>
    <t>sunt diferite în funcţie de tipul capacităţii energetice</t>
  </si>
  <si>
    <t>coincid</t>
  </si>
  <si>
    <t>nu se delimitează zona de siguranţă a acestor tipuri de capacităţi energetice</t>
  </si>
  <si>
    <t>Pentru posturi de transformare aeriene pe stâlpi, dotate cu echipament cu ulei, zona de siguranţă este:</t>
  </si>
  <si>
    <t>mai mare cu 50% decât zona de protecţie</t>
  </si>
  <si>
    <t>20 m de la  limita zonei de protecţie</t>
  </si>
  <si>
    <t>nu se normează</t>
  </si>
  <si>
    <t>Pentru posturi de transformare aeriene pe stâlpi, zona de protecţie este:</t>
  </si>
  <si>
    <t>nu se delimitează zona de protecţia a acestui tip de capacitate energetică</t>
  </si>
  <si>
    <t>egală cu conturul fundaţiei stâlpului</t>
  </si>
  <si>
    <t>egală cu conturul fundaţiei stâlpului şi proiecţia pe sol a platformei suspendate</t>
  </si>
  <si>
    <t>Pentru protecţia liniei împotriva supratensiunilor atmosferice şi pentru protecţia oamenilor împotriva Ua şi Upas, care apar în cazul  punerilor la pământ, stâlpii LEA se leagă la pământ și</t>
  </si>
  <si>
    <t>trebuie să fie prevăzuţi cu prize artificiale de pământ în mod obligatoriu</t>
  </si>
  <si>
    <t>trebuie să fie prevăzuţi cu prize artificiale de pământ, în cazul în care priza naturală de pământ nu satisface condiţia de rezistenţă de dispersie impusă</t>
  </si>
  <si>
    <t>nu mai este nevoie  să fie prevăzuţi cu prize artificiale de pământ</t>
  </si>
  <si>
    <r>
      <t>Pentru un circuit trifazat cu patru conductoare de aluminiu cu secţiunea conductoarelor de fază de 35 mm</t>
    </r>
    <r>
      <rPr>
        <vertAlign val="superscript"/>
        <sz val="11"/>
        <rFont val="Times New Roman"/>
        <family val="1"/>
      </rPr>
      <t>2</t>
    </r>
    <r>
      <rPr>
        <sz val="11"/>
        <rFont val="Times New Roman"/>
        <family val="1"/>
      </rPr>
      <t>,</t>
    </r>
    <r>
      <rPr>
        <vertAlign val="superscript"/>
        <sz val="11"/>
        <rFont val="Times New Roman"/>
        <family val="1"/>
      </rPr>
      <t xml:space="preserve"> </t>
    </r>
    <r>
      <rPr>
        <sz val="11"/>
        <rFont val="Times New Roman"/>
        <family val="1"/>
      </rPr>
      <t xml:space="preserve"> conductorul neutru  are secţiunea minimă de:  </t>
    </r>
  </si>
  <si>
    <r>
      <t>35 mm</t>
    </r>
    <r>
      <rPr>
        <vertAlign val="superscript"/>
        <sz val="11"/>
        <rFont val="Times New Roman"/>
        <family val="1"/>
      </rPr>
      <t>2</t>
    </r>
  </si>
  <si>
    <t>Pentru un element de instalaţie care se dimensionează sau se verifică în condiţii de scurtcircuit se ia în considerare:</t>
  </si>
  <si>
    <t>scurtcircuitul trifazat fără punere la pământ</t>
  </si>
  <si>
    <t>scurtcircuitul trifazat cu punere la pământ</t>
  </si>
  <si>
    <t>natura defectului practic posibil care conduce la solicitarea cea mai mare a elementului</t>
  </si>
  <si>
    <t>Pentru verificarea rezistenţei de izolaţie a pardoselii trebuie efectuate cel puţin trei măsurări în acelaşi amplasament; una din aceste măsurări se efectuează la o distanţă de orice conductor extern accesibil din amplasament de:</t>
  </si>
  <si>
    <t xml:space="preserve">cca. 0,5 m </t>
  </si>
  <si>
    <t xml:space="preserve">cca. 1 m </t>
  </si>
  <si>
    <t xml:space="preserve">cca. 2 m </t>
  </si>
  <si>
    <t>Peretele de separaţie între celule la staţiile interioare de medie tensiune se va prevedea:</t>
  </si>
  <si>
    <t>plin numai pentru înălţimea întrerupătorului</t>
  </si>
  <si>
    <t>plin pe toata înălţimea celulei</t>
  </si>
  <si>
    <t>plin pe o înălţime de cel mult 2 m</t>
  </si>
  <si>
    <t>Plăcile de acoperire a canalelor de cabluri se realizează, de preferinţă, din dale de beton armat:</t>
  </si>
  <si>
    <t>numai în exterior</t>
  </si>
  <si>
    <t xml:space="preserve"> în încăperi sau zone fără pericol de incendiu</t>
  </si>
  <si>
    <t xml:space="preserve"> în încăperi sau zone cu pericol de incendiu</t>
  </si>
  <si>
    <t xml:space="preserve"> numai în încăperi sau zone cu pericol de incendiu</t>
  </si>
  <si>
    <t>Plăcile de acoperire a canalelor de cabluri se realizează, de preferinţă, din tablă striată:</t>
  </si>
  <si>
    <t>Posturile de transformare 20/0,4 kV sau staţiile de transformare de 20/6(10) kV vor fi  racordate, de regulă:</t>
  </si>
  <si>
    <t xml:space="preserve"> la liniile principale</t>
  </si>
  <si>
    <t xml:space="preserve"> la liniile secundare</t>
  </si>
  <si>
    <t>normativele nu prevăd o anumită regulă în acest caz</t>
  </si>
  <si>
    <t>Posturile de transformare din reţeaua de distribuţie publică urbană de tip interior vor fi proiectate cu:</t>
  </si>
  <si>
    <t>un singur transformator</t>
  </si>
  <si>
    <t>cu două transformatoare</t>
  </si>
  <si>
    <t>Posturile de transformare situate în mediul rural sau cele cu regim de construcţie similar în mediul urban:</t>
  </si>
  <si>
    <t>nu vor avea ferestre</t>
  </si>
  <si>
    <t>pot avea ferestre protejate cu plasă de sârma</t>
  </si>
  <si>
    <t>pot avea ferestre prevăzute cu sticlă armată</t>
  </si>
  <si>
    <t>Prevederile normativului  I 7 – 2011 se aplică la proiectarea, execuţia şi exploatarea instalaţiilor electrice :</t>
  </si>
  <si>
    <t xml:space="preserve">aferente clădirilor cu funcţiuni agroindustriale şi agrozootehnice </t>
  </si>
  <si>
    <t xml:space="preserve">din mine şi cariere </t>
  </si>
  <si>
    <t>depozitelor de materiale pirotehnice şi explozive</t>
  </si>
  <si>
    <t>Prevederile normativului  I 7 – 2011 se aplică la proiectarea, execuţia şi exploatarea instalaţiilor electrice aferente:</t>
  </si>
  <si>
    <t>clădirilor prefabricate;</t>
  </si>
  <si>
    <t xml:space="preserve">minelor şi carierelor </t>
  </si>
  <si>
    <t>Prin delimitarea zonelor de siguranţă ale capacităţilor energetice se urmăreşte:</t>
  </si>
  <si>
    <t>asigurarea parametrilor nominali de funcţionare a capacităţilor energetice</t>
  </si>
  <si>
    <t>protecţia capacităţilor energetice</t>
  </si>
  <si>
    <t>minimizarea riscurilor pentru siguranţa persoanelor şi a bunurilor din apropierea capacităţii energetice</t>
  </si>
  <si>
    <t>Priza de pământ este o</t>
  </si>
  <si>
    <t xml:space="preserve">parte conductoare încorporată obligatoriu în pământ </t>
  </si>
  <si>
    <t>parte conductoare care poate fi încorporată într-un mediu conductor specific, de exemplu beton sau cărbune, izolat față de pământ.</t>
  </si>
  <si>
    <t>parte conductoare care poate fi încorporată în pământ sau într-un mediu conductor specific, de exemplu beton sau cărbune, în contact cu pământul.</t>
  </si>
  <si>
    <t xml:space="preserve">Priza de pământ independentă este o priză de pământ </t>
  </si>
  <si>
    <t xml:space="preserve">care nu face parte dintr-o instalaţie de legare la pământ </t>
  </si>
  <si>
    <t>suficient de îndepărtată de alte prize de pământ pentru ca potenţialul său electric să nu fie sensibil afectat de curenţii electrici între pământ şi alte prize de pământ.</t>
  </si>
  <si>
    <t xml:space="preserve">care nu face parte dintr-o reţea de prize de pământ  </t>
  </si>
  <si>
    <t>Prizele cu tensiunea de 230 V care se montează într-o instalație electrică trebuie să fie întotdeauna:</t>
  </si>
  <si>
    <t>în construcţie capsulată</t>
  </si>
  <si>
    <t>cu contact de protecţie</t>
  </si>
  <si>
    <t>în execuţie sub tencuială</t>
  </si>
  <si>
    <t>Protecţia cablurilor împotriva curenţilor de scurtcircuit se realizează:</t>
  </si>
  <si>
    <t>doar în anumite cazuri speciale</t>
  </si>
  <si>
    <t>cu siguranţe fuzibile</t>
  </si>
  <si>
    <t>numai cu relee de protecţie</t>
  </si>
  <si>
    <t>numai cu siguranţe fuzibile</t>
  </si>
  <si>
    <t>cu relee de protecţie</t>
  </si>
  <si>
    <t xml:space="preserve">Protecţia de bază (protecţia împotriva atingerilor directe) se realizează  </t>
  </si>
  <si>
    <t>numai prin măsuri administrative</t>
  </si>
  <si>
    <t>prin măsuri tehnice şi organizatorice</t>
  </si>
  <si>
    <t xml:space="preserve">numai prin măsuri tehnice </t>
  </si>
  <si>
    <t xml:space="preserve">Protecţia de supracurent prevăzută pe conductorul neutru trebuie să producă deconectarea   </t>
  </si>
  <si>
    <t xml:space="preserve"> conductoarelor active</t>
  </si>
  <si>
    <t xml:space="preserve"> conductorului neutru, numai dacă este o rețea IT </t>
  </si>
  <si>
    <t xml:space="preserve"> conductorului neutru, numai dacă este o rețea TT </t>
  </si>
  <si>
    <t>Protecţia la suprasarcini şi protecţia la scurtcircuit</t>
  </si>
  <si>
    <t>trebuie asigurate prin dispozitive de protecţie separate</t>
  </si>
  <si>
    <t>pot fi asigurate printr-un singur dispozitiv de protecţie</t>
  </si>
  <si>
    <t>trebuie asigurate printr-un singur dispozitiv de protecţie</t>
  </si>
  <si>
    <t>Protecţia motoarelor trifazate la suprasarcină se realizează cu un dispozitiv dependent de curent, cu temporizare, care monitorizează toate cele trei faze, reglat la .</t>
  </si>
  <si>
    <t>cel mult 0,8 din valoarea curentului nominal al motorului</t>
  </si>
  <si>
    <t>cel mult valoarea curentului nominal al motorului</t>
  </si>
  <si>
    <t>cel mult 0,9 din valoarea curentului nominal al motorului</t>
  </si>
  <si>
    <t>Protecţia posturilor de transformare noi de     3-35 kV cu intrare aeriană, împotriva loviturilor directe de trăsnet şi împotriva undelor de supratensiune de trăsnet care se propagă pe LEA se realizează cu:</t>
  </si>
  <si>
    <t>descărcătoare cu rezistenţă variabilă pe bază de oxizi metalici</t>
  </si>
  <si>
    <t>descărcătoare cu coarne</t>
  </si>
  <si>
    <t>paratrăsnete</t>
  </si>
  <si>
    <t>Punctul de alimentare este:</t>
  </si>
  <si>
    <t>staţie de conexiuni de medie tensiune, destinată alimentării unor posturi de transformare</t>
  </si>
  <si>
    <t>staţie de transformare 110kV/20 kV sau staţie de conexiuni şi transformare de 110 kV/ 20kV</t>
  </si>
  <si>
    <t>post de transformare 20kV/ 0,4 kV</t>
  </si>
  <si>
    <t>Puterea instalată pe un circuit monofazat de prize din clădirile de locuit şi social - culturale este de:</t>
  </si>
  <si>
    <t>1,5 kW</t>
  </si>
  <si>
    <t>Puterea transformatorului care se montează în posturi, pe un stâlp, nu va depăşi, de regula:</t>
  </si>
  <si>
    <t xml:space="preserve"> 100 kVA</t>
  </si>
  <si>
    <t xml:space="preserve"> 160 kVA</t>
  </si>
  <si>
    <t>250 kVA</t>
  </si>
  <si>
    <t>Ramificaţiile din distribuţiile cu conductoare electrice libere montate pe izolatoare în interiorul clădirilor se fixează astfel încât:</t>
  </si>
  <si>
    <t xml:space="preserve">conductoarele electrice din traseul principal să poată suporta eforturile de tracţiune suplimentare </t>
  </si>
  <si>
    <t>să solicite cu tracţiune redusă conductoarele electrice din traseul principal</t>
  </si>
  <si>
    <t>să nu solicite la tracţiune conductoare electrice din traseul principal</t>
  </si>
  <si>
    <t>Raportul de transformare RT/XT în funcţie de mărimea transformatorului:</t>
  </si>
  <si>
    <t>scade</t>
  </si>
  <si>
    <t>creşte</t>
  </si>
  <si>
    <t>rămâne constant</t>
  </si>
  <si>
    <t>Reactanţa supratranzitorie longitudinală a maşinii sincrone este reactanţa:</t>
  </si>
  <si>
    <t xml:space="preserve"> cu 5s înaintea scurtcircuitului</t>
  </si>
  <si>
    <t xml:space="preserve"> în momentul scurtcircuitului</t>
  </si>
  <si>
    <t xml:space="preserve"> cu 10 s după producerea scurtcircuitului</t>
  </si>
  <si>
    <t>Reţeaua de tip IT se utilizează:</t>
  </si>
  <si>
    <t xml:space="preserve"> numai cu dispozitiv de control permanent al izolaţiei conductorului neutru faţă de pământ şi/sau
declanşarea automată în caz de defect  </t>
  </si>
  <si>
    <t>fără a fi necesară luarea unor măsuri anumite</t>
  </si>
  <si>
    <t>utilizarea unui anumit tip  de reţea (ca schemă de protecţie) şi eventual prevederea unor protecţii sunt opţiuni ale proiectantului</t>
  </si>
  <si>
    <t xml:space="preserve">Reţeaua electrică a operatorului de transport/distribuţie </t>
  </si>
  <si>
    <t xml:space="preserve">constituie două surse de alimentare pentru locul de consum respectiv, dacă acesta este racordat  printr-un post de transformare alimentat din două stații de treanformare, echipat cu două transformatoare și instalație de AAR  
</t>
  </si>
  <si>
    <t xml:space="preserve">constituie două surse de alimentare pentru locul de consum respectiv, dacă acesta este racordat  printr-un post de transformare echipat cu două transformatoare și instalație de AAR  
</t>
  </si>
  <si>
    <t xml:space="preserve">constituie o singură sursă de alimentare (SEN) pentru locul de consum respectiv, indiferent de numărul de instalaţii electrice prin care este racordat  
</t>
  </si>
  <si>
    <t xml:space="preserve">Reţeaua generală a conductoarelor principale de legare la pământ de protecţie din instalaţiile electrice pentru şantiere de construcţii şi de demolare </t>
  </si>
  <si>
    <t>se realizează buclat în toate cazurile în care acest lucru este posibil.</t>
  </si>
  <si>
    <t>se realizează buclat în toate cazurile</t>
  </si>
  <si>
    <t xml:space="preserve">se realizează radial, pentru reducerea consumului de materiale </t>
  </si>
  <si>
    <t xml:space="preserve">Reţeaua generală de protecţie din instalaţiile electrice pentru şantiere de construcţii şi de demolare, care se execută ramificat, se leagă la toate capetele de linie şi la punctele de ramificaţie la câte o priză de pământ fixă de </t>
  </si>
  <si>
    <t>4 Ω.</t>
  </si>
  <si>
    <t>10 Ω.</t>
  </si>
  <si>
    <t xml:space="preserve">Reţelele electrice aeriene de joasă tensiune cu conductoare torsadate:
    .
</t>
  </si>
  <si>
    <t>se realizează obligatoriu pe ambele părţi ale străzilor, pentru evitarea traversărilor</t>
  </si>
  <si>
    <t xml:space="preserve"> vor fi instalate de regulă, pe o singură parte a străzilor</t>
  </si>
  <si>
    <t xml:space="preserve">vor putea fi construite pe ambele părţi ale străzilor dacă lăţimea acestora este mai mare de 10 m </t>
  </si>
  <si>
    <t xml:space="preserve">Reţelele electrice de joasă tensiune în cablu subteran vor fi prevăzute de regulă :  </t>
  </si>
  <si>
    <t xml:space="preserve"> pe o singură parte a străzilor</t>
  </si>
  <si>
    <t xml:space="preserve"> pe ambele părţi ale străzilor</t>
  </si>
  <si>
    <t xml:space="preserve">Rezistenţa de izolaţie a pardoselii şi pereţilor în fiecare punct de măsurare în condiţiile specificate în SR EN 61140 şi verificate printr-o metoda recomandată în Anexa 8.1 din I7/2011, dacă tensiunea nominală a instalaţiei nu depăşeşte 500 V în tensiune continuă sau alternativă, trebuie să fie mai mare de </t>
  </si>
  <si>
    <t>75 kΩ</t>
  </si>
  <si>
    <t>50 kΩ</t>
  </si>
  <si>
    <t>100 kΩ</t>
  </si>
  <si>
    <t>Rezistenţa de izolaţie a unui circuit (de joasă tensiune) cu tensiune nominală &gt; 500 V se măsoară în c.c. şi trebuie să aibă o valoare:</t>
  </si>
  <si>
    <t>mai mică de 0,5 MΩ</t>
  </si>
  <si>
    <t>mai mare sau egala cu 1 MΩ</t>
  </si>
  <si>
    <t>mai mare sau egala cu 2 MΩ</t>
  </si>
  <si>
    <t xml:space="preserve">Rezistenţa prizei de pământ folosite pentru protecţia împotriva şocurilor electrice, atunci când aceasta este comună cu priza de pământ pentru instalaţia de protecţie a clădirii împotriva trăsnetelor, poate fi: </t>
  </si>
  <si>
    <t>cel mult 1 Ω</t>
  </si>
  <si>
    <t>cel mult 4 Ω</t>
  </si>
  <si>
    <t>cel mult 10 Ω</t>
  </si>
  <si>
    <t>Schema de legare la pământ de tip TN-S, în care un conductor de protecţie distinct este folosit pentru întreaga schemă, se utilizează:</t>
  </si>
  <si>
    <t>numai atunci când trebuie separate PE şi N pentru asigurarea funcţionării protecţiei</t>
  </si>
  <si>
    <t>de la ultimul tablou spre consumator</t>
  </si>
  <si>
    <t>reglementările nu fac precizări privind cazurile în care se utilizează acest tip de schemă</t>
  </si>
  <si>
    <t>când trebuie separate PE şi N pentru asigurarea funcţionării protecţiei</t>
  </si>
  <si>
    <t>numai de la ultimul tablou spre consumator</t>
  </si>
  <si>
    <t>Schema echivalentă de calcul în cazul producerii unui scurtcircuit  monofazat cu arc electric se obţine din</t>
  </si>
  <si>
    <t xml:space="preserve">schemele de secvenţă directă, inversă, homopolară şi o impedanţă egală cu de trei ori impedanţa arcului electric, conectate în serie  </t>
  </si>
  <si>
    <t>schemele de secvenţă directă, inversă, homopolară şi o impedanţă egală cu de trei ori impedanţa arcului electric, conectate în paralel</t>
  </si>
  <si>
    <t>schemele de secvenţă directă, homopolară şi o impedanţă egală cu de trei ori impedanţa arcului electric, conectate în paralel</t>
  </si>
  <si>
    <t>Schema echivalentă de calcul în cazul producerii unui scurtcircuit al unei faze a reţelei trifazate direct la pământ (monofazat, fără arc electric) se compune din:</t>
  </si>
  <si>
    <t>schemele de secvenţă directă, inversă şi homopolară conectate în paralel</t>
  </si>
  <si>
    <t xml:space="preserve">schemele de secvenţă directă, inversă şi homopolară conectate în serie </t>
  </si>
  <si>
    <t>schemele de secvenţă directă şi inversă conectate în paralel</t>
  </si>
  <si>
    <t>Schema pentru calculul curenţilor de scurtcircuit, dacă se aplică teoria componentelor simetrice în cazul scurtcircuitelor simetrice şi nesimetrice, se întocmeşte:</t>
  </si>
  <si>
    <t xml:space="preserve"> pentru toate cele trei faze, în ambele cazuri</t>
  </si>
  <si>
    <t xml:space="preserve"> numai pentru o fază, în ambele cazuri</t>
  </si>
  <si>
    <t xml:space="preserve"> doar în cazul scurtcircuitelor simetrice, numai pentru o fază</t>
  </si>
  <si>
    <t>Scoaterea de sub tensiune a instalaţiei la care se lucrează</t>
  </si>
  <si>
    <t>Scurtcircuitul departe de generator reprezintă un scurtcircuit în timpul căruia valoarea efectivă a:</t>
  </si>
  <si>
    <t>componentei simetrice de c.a. rămâne practic constantă</t>
  </si>
  <si>
    <t>componentei simetrice de c.a. scade</t>
  </si>
  <si>
    <t>componentei simetrice de c.a. se dublează</t>
  </si>
  <si>
    <t>Se admit doze comune pentru circuitele de iluminat normal, de prize, de comandă şi de semnalizare:</t>
  </si>
  <si>
    <t xml:space="preserve"> dacă acestea funcţionează la aceeaşi tensiune</t>
  </si>
  <si>
    <t xml:space="preserve"> întotdeauna</t>
  </si>
  <si>
    <t xml:space="preserve"> dacă puterea instalată pe fiecare circuit nu depăşeşte 2 kW</t>
  </si>
  <si>
    <t>Se admite alimentarea a mai multor receptoare electrice de putere de aceeaşi natură şi destinaţie (de ex. motoare) prin acelaşi circuit de j.t. prevăzut cu protecţie comună la scurtcircuit, dacă puterea totală instalată nu depăşeşte:</t>
  </si>
  <si>
    <t xml:space="preserve"> 8 kW</t>
  </si>
  <si>
    <t xml:space="preserve"> 10 kW</t>
  </si>
  <si>
    <t xml:space="preserve"> 15 kW</t>
  </si>
  <si>
    <t>Se admite condiţionat  instalarea, în încăperi comune cu instalaţiile de distribuţie de înaltă şi joasă tensiune, de cel mai simplu tip, a două transformatoare de putere în ulei cu o putere totală de până la:</t>
  </si>
  <si>
    <t>1260 kVA inclusiv</t>
  </si>
  <si>
    <t xml:space="preserve"> 1030 kVA inclusiv</t>
  </si>
  <si>
    <t>800 kVA inclusiv</t>
  </si>
  <si>
    <t>Se admite montarea la etajul I al clădirilor a transformatoarelor de putere cu ulei, condiţionat, când acestea au puteri de până la:</t>
  </si>
  <si>
    <t xml:space="preserve"> 400 kVA</t>
  </si>
  <si>
    <t xml:space="preserve"> 630 kVA</t>
  </si>
  <si>
    <t>Se consideră atingere directă:</t>
  </si>
  <si>
    <t>contactul persoanelor sau animalelor domestice sau de crescătorie cu mase puse accidental sub tensiune datorită unui defect electric</t>
  </si>
  <si>
    <t xml:space="preserve">contactul direct al persoanelor sau al animalelor cu părţi active </t>
  </si>
  <si>
    <t>Se prevede accesul pe la ambele capete pe coridoarele din dreptul tablourilor de distribuţie formate din mai multe panouri având o lungime mai mare de:</t>
  </si>
  <si>
    <t xml:space="preserve"> 3 m</t>
  </si>
  <si>
    <t xml:space="preserve"> 5 m</t>
  </si>
  <si>
    <t>Se recomandă ca montarea instalaţiilor electrice de interior cu tensiunea până la şi peste 1000V să fie amplasate:</t>
  </si>
  <si>
    <t>în aceeaşi încăpere</t>
  </si>
  <si>
    <t>în încăperi separate</t>
  </si>
  <si>
    <t>nu există în prescripţiile energetice o astfel de recomandare</t>
  </si>
  <si>
    <t>Se recomanda ca numărul de manşoane de legătura pe 1 km de linie nou-construita, pentru cabluri cu tensiuni de 1-30 kV, sa fie de maximum:</t>
  </si>
  <si>
    <t xml:space="preserve"> 6 bucăţi</t>
  </si>
  <si>
    <t xml:space="preserve"> 4 bucăţi</t>
  </si>
  <si>
    <t xml:space="preserve"> 5 bucăţi</t>
  </si>
  <si>
    <t xml:space="preserve">Secțiunea  conductorului PEN trebuie să fie cel puțin egală cu </t>
  </si>
  <si>
    <r>
      <t xml:space="preserve"> 10 mm</t>
    </r>
    <r>
      <rPr>
        <vertAlign val="superscript"/>
        <sz val="11"/>
        <rFont val="Times New Roman"/>
        <family val="1"/>
      </rPr>
      <t>2</t>
    </r>
    <r>
      <rPr>
        <sz val="11"/>
        <rFont val="Times New Roman"/>
        <family val="1"/>
      </rPr>
      <t xml:space="preserve"> Cu sau  Al </t>
    </r>
  </si>
  <si>
    <r>
      <t xml:space="preserve"> 6 mm</t>
    </r>
    <r>
      <rPr>
        <vertAlign val="superscript"/>
        <sz val="11"/>
        <rFont val="Times New Roman"/>
        <family val="1"/>
      </rPr>
      <t>2</t>
    </r>
    <r>
      <rPr>
        <sz val="11"/>
        <rFont val="Times New Roman"/>
        <family val="1"/>
      </rPr>
      <t xml:space="preserve"> Cu sau 10 mm</t>
    </r>
    <r>
      <rPr>
        <vertAlign val="superscript"/>
        <sz val="11"/>
        <rFont val="Times New Roman"/>
        <family val="1"/>
      </rPr>
      <t>2</t>
    </r>
    <r>
      <rPr>
        <sz val="11"/>
        <rFont val="Times New Roman"/>
        <family val="1"/>
      </rPr>
      <t xml:space="preserve"> Al </t>
    </r>
  </si>
  <si>
    <r>
      <t xml:space="preserve"> 10 mm</t>
    </r>
    <r>
      <rPr>
        <vertAlign val="superscript"/>
        <sz val="11"/>
        <rFont val="Times New Roman"/>
        <family val="1"/>
      </rPr>
      <t>2</t>
    </r>
    <r>
      <rPr>
        <sz val="11"/>
        <rFont val="Times New Roman"/>
        <family val="1"/>
      </rPr>
      <t xml:space="preserve"> Cu sau 16 mm</t>
    </r>
    <r>
      <rPr>
        <vertAlign val="superscript"/>
        <sz val="11"/>
        <rFont val="Times New Roman"/>
        <family val="1"/>
      </rPr>
      <t>2</t>
    </r>
    <r>
      <rPr>
        <sz val="11"/>
        <rFont val="Times New Roman"/>
        <family val="1"/>
      </rPr>
      <t xml:space="preserve"> Al </t>
    </r>
  </si>
  <si>
    <t>Secţiunea minimă admisă a conductorului de fază pentru circuitul unui receptor electrocasnic monofazat cu putere de peste 2 kW este de:</t>
  </si>
  <si>
    <r>
      <t>2,5 mm</t>
    </r>
    <r>
      <rPr>
        <vertAlign val="superscript"/>
        <sz val="11"/>
        <rFont val="Times New Roman"/>
        <family val="1"/>
      </rPr>
      <t>2</t>
    </r>
    <r>
      <rPr>
        <sz val="11"/>
        <rFont val="Times New Roman"/>
        <family val="1"/>
      </rPr>
      <t xml:space="preserve"> cupru</t>
    </r>
  </si>
  <si>
    <r>
      <t>1,5 mm</t>
    </r>
    <r>
      <rPr>
        <vertAlign val="superscript"/>
        <sz val="11"/>
        <rFont val="Times New Roman"/>
        <family val="1"/>
      </rPr>
      <t>2</t>
    </r>
    <r>
      <rPr>
        <sz val="11"/>
        <rFont val="Times New Roman"/>
        <family val="1"/>
      </rPr>
      <t xml:space="preserve"> cupru,                           2,5 mm</t>
    </r>
    <r>
      <rPr>
        <vertAlign val="superscript"/>
        <sz val="11"/>
        <rFont val="Times New Roman"/>
        <family val="1"/>
      </rPr>
      <t>2</t>
    </r>
    <r>
      <rPr>
        <sz val="11"/>
        <rFont val="Times New Roman"/>
        <family val="1"/>
      </rPr>
      <t xml:space="preserve"> aluminiu</t>
    </r>
  </si>
  <si>
    <r>
      <t>4 mm</t>
    </r>
    <r>
      <rPr>
        <vertAlign val="superscript"/>
        <sz val="11"/>
        <rFont val="Times New Roman"/>
        <family val="1"/>
      </rPr>
      <t>2</t>
    </r>
    <r>
      <rPr>
        <sz val="11"/>
        <rFont val="Times New Roman"/>
        <family val="1"/>
      </rPr>
      <t xml:space="preserve"> aluminiu</t>
    </r>
  </si>
  <si>
    <t>Secţiunea minimă admisă pentru conductoare de fază din circuite pentru prize monofazate în instalaţiile electrice din interiorul clădirilor este de:</t>
  </si>
  <si>
    <r>
      <t>2,5 mm</t>
    </r>
    <r>
      <rPr>
        <vertAlign val="superscript"/>
        <sz val="11"/>
        <rFont val="Times New Roman"/>
        <family val="1"/>
      </rPr>
      <t>2</t>
    </r>
    <r>
      <rPr>
        <sz val="11"/>
        <rFont val="Times New Roman"/>
        <family val="1"/>
      </rPr>
      <t xml:space="preserve"> cupru, </t>
    </r>
  </si>
  <si>
    <t>Secţiunea nominală a unui conductor funie alcătuit din două metale se exprimă prin:</t>
  </si>
  <si>
    <t>valorile rotunjite ale secţiunilor ambelor metale</t>
  </si>
  <si>
    <t>valoarea secţiunii celei mai mari dintre cele două (aferente celor două metale)</t>
  </si>
  <si>
    <t>valoarea exactă a secţiunii conductorului, luată cu 2 zecimale</t>
  </si>
  <si>
    <t>Secţiunile cablurilor de comandă – control, din cupru, folosite la circuitele secundare ale transformatoarelor de curent, nu trebuie să fie mai mici de:</t>
  </si>
  <si>
    <t xml:space="preserve"> 1 mmp</t>
  </si>
  <si>
    <t xml:space="preserve"> 1,5 mmp</t>
  </si>
  <si>
    <t xml:space="preserve"> 2,5 mmp</t>
  </si>
  <si>
    <t xml:space="preserve">Separarea de protecţie – este o separare între două circuite electrice prin intermediul:
</t>
  </si>
  <si>
    <t>unei izolaţii de bază</t>
  </si>
  <si>
    <t xml:space="preserve">unei protecţii electrice printr-un ecran, </t>
  </si>
  <si>
    <t xml:space="preserve"> unei izolaţii duble</t>
  </si>
  <si>
    <t>unei izolaţii întărite</t>
  </si>
  <si>
    <t xml:space="preserve">Separarea simplă este </t>
  </si>
  <si>
    <t xml:space="preserve">o separare între circuitele electrice sau între un circuit electric şi pământul local printr-o izolaţie dublă </t>
  </si>
  <si>
    <t>o separare între circuitele electrice sau între un circuit electric şi pământul local printr-o izolaţie întărită</t>
  </si>
  <si>
    <t>o separare între circuitele electrice sau între un circuit electric şi pământul local printr-o izolaţie de bază</t>
  </si>
  <si>
    <t>Siguranţele cu capac filetat trebuie să fie montate în aşa fel încât:</t>
  </si>
  <si>
    <t xml:space="preserve"> conductoarele de alimentare să fie legate la şuruburile de contact</t>
  </si>
  <si>
    <t xml:space="preserve"> conductoarele de plecare spre consumatori să fie legate la şuruburile de contact</t>
  </si>
  <si>
    <t xml:space="preserve"> conductoarele de alimentare să fie legate la duliile filetate</t>
  </si>
  <si>
    <t xml:space="preserve">Sigutanţele fuzibile sunt dispozitive care protejează: </t>
  </si>
  <si>
    <t xml:space="preserve"> numai la curenţi de suprasarcină </t>
  </si>
  <si>
    <t>numai la curenţi de scurtcircuit</t>
  </si>
  <si>
    <t xml:space="preserve"> atât la curenţi de suprasarcină cât şi la curenţi de scurtcircuit</t>
  </si>
  <si>
    <t>Simbolul literal T  utilizat pentru notarea schemei de legare la pământ de tip IT are următoarea semnificaţie:</t>
  </si>
  <si>
    <t xml:space="preserve">izolarea tuturor părţilor active faţă de pământ, sau legarea la pământ a unui punct printr-o impedanţă de valoare foarte mare. </t>
  </si>
  <si>
    <t xml:space="preserve"> legarea directă  la pământ a maselor instalaţiei </t>
  </si>
  <si>
    <t>legarea directă la pământ a unui punct activ – neutrul, în cazul în care acesta este accesibil sau a unui conductor de fază, în cazul în care neutrul nu este accesibil;</t>
  </si>
  <si>
    <t>Simbolul literal T utilizat pentru notarea schemei de legare la pământ de tip TN are următoarea semnificaţie:</t>
  </si>
  <si>
    <t xml:space="preserve"> legarea direct la pământ a maselor instalaţiei, independent de eventuala legare la pământ a unui punct al alimentării</t>
  </si>
  <si>
    <t>legarea directă la pământ a unui punct activ – punctul neutru, în cazul în care acesta este accesibil sau a unui conductor de fază, în cazul în care punctul neutru nu este accesibil;</t>
  </si>
  <si>
    <t xml:space="preserve">Stâlpii metalici din LEA de joasă tensiune se vor proteja împotriva agenţilor corosivi prin:  </t>
  </si>
  <si>
    <t>grunduire</t>
  </si>
  <si>
    <t>Staţiile de conexiuni cu tensiuni până la 20 kV vor fi dispuse, de regulă:</t>
  </si>
  <si>
    <t>în aer liber</t>
  </si>
  <si>
    <t>în interior, în clădiri de zid</t>
  </si>
  <si>
    <t>nu există nici o prevedere legală</t>
  </si>
  <si>
    <t>Staţiile de conexiuni cu tensiuni peste 20 kV vor fi dispuse, de regulă:</t>
  </si>
  <si>
    <t>Staţiile de transformare din Sistemul Energetic Naţional, cu tensiunea primară de 400kV, 220kV sau 110kV, se vor realiza cu:</t>
  </si>
  <si>
    <t>maxim trei trepte de tensiune</t>
  </si>
  <si>
    <t>maxim două transformatoare (autotransformatoare)</t>
  </si>
  <si>
    <t>Structura reţelelor electrice de medie tensiune va fi:</t>
  </si>
  <si>
    <t>de regulă, radială-arborescentă</t>
  </si>
  <si>
    <t>de regulă în buclă</t>
  </si>
  <si>
    <t>de regulă în buclă, cu funcţionare în buclă</t>
  </si>
  <si>
    <t>Supunerea legăturilor electrice la eforturi de tracţiune:</t>
  </si>
  <si>
    <t>este permisă în cazul conductoarelor de cupru</t>
  </si>
  <si>
    <t>Tabloul de distribuţie de j.t. trebuie montat:</t>
  </si>
  <si>
    <t>în plan orizontal</t>
  </si>
  <si>
    <t>perfect vertical şi bine fixat</t>
  </si>
  <si>
    <t>nu există prevederi speciale cu privire la modul de montare</t>
  </si>
  <si>
    <t>Tablourile de distribuţie din locuinţe se pot instala astfel încât înălţimea laturii de sus a tablourilor faţă de pardoseala finită să nu depăşească:</t>
  </si>
  <si>
    <t>2,3 m</t>
  </si>
  <si>
    <t xml:space="preserve">Tablourile de distribuţie se vor executa </t>
  </si>
  <si>
    <t>numai în  construcţie deschisă</t>
  </si>
  <si>
    <t>numai în construcţie închisă (protejată)</t>
  </si>
  <si>
    <t xml:space="preserve"> în construcţie deschisă sau închisă, în funcţie de condiţiile de influenţe externe şi grad de protecţie</t>
  </si>
  <si>
    <t>Temperatura maximă a unui conductor al unui cablu, în regim permanent, este:</t>
  </si>
  <si>
    <t>suma dintre temperatura mediului şi supratemperatura datorită curentului de sarcină</t>
  </si>
  <si>
    <t>temperatura de suprasarcină</t>
  </si>
  <si>
    <t>temperatura mediului</t>
  </si>
  <si>
    <t>Temperaturile maxime de scurtă durată ale componentelor cablurilor nu trebuie să depăşească:</t>
  </si>
  <si>
    <t>375°C - 400°C, în funcţie de materialul de izolare, respectiv materialul mantalei exterioare şi de umplutură</t>
  </si>
  <si>
    <t>valorile limită admise de normele producătorului</t>
  </si>
  <si>
    <t>375°C - 400°C, în funcţie de durata</t>
  </si>
  <si>
    <t xml:space="preserve">Tensiunea de defect este  </t>
  </si>
  <si>
    <t>tensiunea între un punct de defect şi pământul de referinţă, ca urmare a unui defect de izolaţie</t>
  </si>
  <si>
    <t>tensiunea între un punct de defect şi pământ, ca urmare a unui defect de izolaţie</t>
  </si>
  <si>
    <t>tensiunea între un punct de defect şi o parte conductoare accesibilă</t>
  </si>
  <si>
    <t xml:space="preserve">Tensiunea sursei echivalente de tensiune (cUn)/√3  -este  tensiunea  ideală a sursei, care se aplică în punctul unde se produce scurtcircuitul, în reţeaua de succesiune ........................... , ca singura tensiune activă a sistemului   </t>
  </si>
  <si>
    <t>directă (pozitivă)</t>
  </si>
  <si>
    <t>inversă (negativă)</t>
  </si>
  <si>
    <t>homopolară (zero)</t>
  </si>
  <si>
    <t>Timpul minim de deconectare a unui scurtcircuit reprezintă:</t>
  </si>
  <si>
    <t>suma dintre timpul cel mai scurt de acţionare al protecţiei şi cel mai scurt timp de deschidere al întreruptorului</t>
  </si>
  <si>
    <t>timpul cel mai scurt de acţionare al protecţiei</t>
  </si>
  <si>
    <t>cel mai lung timp între începutul unui curent de scurtcircuit şi prima separare a contactelor unui pol al aparatului de deconectare</t>
  </si>
  <si>
    <t>Toate elementele liniei electrice aeriene de înaltă tensiune prin care circulă curentul de scurtcircuit se verifică la stabilitate termică conform PE 103, luându-se în considerare valoarea de perspectivă a curentului de scurtcircuit şi o rezistenţă a arcului la locul de defect de:</t>
  </si>
  <si>
    <t>5 Ω</t>
  </si>
  <si>
    <t>1 Ω</t>
  </si>
  <si>
    <t>2,5 Ω</t>
  </si>
  <si>
    <t>Toate elementele reţelei care intervin în calculul curenţilor de scurtcircuit se introduc în schema de calcul prin:</t>
  </si>
  <si>
    <t>impedanţele lor</t>
  </si>
  <si>
    <t xml:space="preserve"> rezistenţele lor</t>
  </si>
  <si>
    <t>indiferent, prin impedanţele sau rezistenţele lor</t>
  </si>
  <si>
    <t>Traseele subterane de cabluri se marchează prin borne de marcare la suprafaţă sau prin tăbliţe de marcaj pe clădiri:</t>
  </si>
  <si>
    <t>atunci când în desenele de execuţie, traseele de cabluri nu pot fi indicate pe plan prin cote faţă de construcţii fixe</t>
  </si>
  <si>
    <t>prevederea sau nu a marcării traseelor subterane de cabluri este opţiunea proiectantului</t>
  </si>
  <si>
    <t>Traversarea LEA de joasă tensiune peste construcţii în care se prelucrează sau depozitează substanţe combustibile, inflamabile sau cu pericol de incendiu (explozie):</t>
  </si>
  <si>
    <t>este permisă dacă distanţa minimă pe verticală între LEA şi construcţie este de minim 2 m</t>
  </si>
  <si>
    <t>este permisă condiţionat, în funcţie de tipul construcţiei</t>
  </si>
  <si>
    <t>Traversarea liniilor de contact pentru tramvai sau troleibuz de către LEA de joasă tensiune:</t>
  </si>
  <si>
    <t>se face cu LEA cu conductoare izolate torsadate</t>
  </si>
  <si>
    <t xml:space="preserve">se poate face cu LEA cu conductoare neizolate, în anumite situații </t>
  </si>
  <si>
    <t>Tuburile şi ţevile metalice sau din material plastic din instalaţiile electrice de j.t. se instalează:</t>
  </si>
  <si>
    <t>numai aparent</t>
  </si>
  <si>
    <t>numai îngropat</t>
  </si>
  <si>
    <t>aparent sau îngropat, în anumite condiţii</t>
  </si>
  <si>
    <t>Utilizarea conductelor metalice pentru apă drept conductoare de protecţie:</t>
  </si>
  <si>
    <t xml:space="preserve">este recomandată  </t>
  </si>
  <si>
    <t>este permisă condiţionat</t>
  </si>
  <si>
    <t>Utilizarea conductelor metalice pentru gaze şi/sau lichide inflamabile drept conductoare de protecţie:</t>
  </si>
  <si>
    <t>Utilizarea conductoarelor preizolate conduce la</t>
  </si>
  <si>
    <t>reducerea pierderilor în rețele</t>
  </si>
  <si>
    <t>reducerea distanţei dintre faze, în unele cazuri</t>
  </si>
  <si>
    <t xml:space="preserve"> eliminarea defectelor datorate căderii accidentale a vegetaţiei pe reţele;</t>
  </si>
  <si>
    <t xml:space="preserve">Utilizarea dispozitivelor de curent diferenţial rezidual DDR reprezintă:  </t>
  </si>
  <si>
    <t xml:space="preserve">o măsură tehnică de protecţie pentru protecţia de bază </t>
  </si>
  <si>
    <t xml:space="preserve">o măsură tehnică de protecţie pentru protecţia de defect </t>
  </si>
  <si>
    <t xml:space="preserve">o măsură tehnică suplimentară </t>
  </si>
  <si>
    <t>Valoarea rezistenţei de dispersie a prizei de pământ artificiale pentru o instalaţie de paratrăsnete, în cazul în care priza de pământ se execută separat faţă de prizele de pământ pentru instalaţiile electrice, trebuie să fie cel mult:</t>
  </si>
  <si>
    <t>10 Ω</t>
  </si>
  <si>
    <t>15 Ω</t>
  </si>
  <si>
    <t>Verificarea aparatelor electrice la solicitări mecanice în cazul curenţilor de scurtcircuit se face luându-se în considerare, de regula:</t>
  </si>
  <si>
    <t xml:space="preserve"> scurtcircuitul monofazat</t>
  </si>
  <si>
    <t>scurtcircuitul bifazat cu punere la pământ</t>
  </si>
  <si>
    <t>scurtcircuitul trifazat</t>
  </si>
  <si>
    <t>Verificarea aparatelor electrice la solicitări mecanice în cazul curenţilor de scurtcircuit se face verificând ….......…. în raport cu curentul dinamic nominal al aparatului:</t>
  </si>
  <si>
    <t xml:space="preserve"> valoarea de vârf a curentului de scurtcircuit (kAmax)</t>
  </si>
  <si>
    <t xml:space="preserve"> curentul de scurtcircuit permanent (kA)</t>
  </si>
  <si>
    <t xml:space="preserve"> curentul de scurtcircuit simetric iniţial (kA)</t>
  </si>
  <si>
    <t>Zona de protecţie a cablurilor cu tensiunea mai mare de 1 kV pozate sub apă, trebuie să aibă o lăţime de:</t>
  </si>
  <si>
    <t>75 m</t>
  </si>
  <si>
    <t>150 m</t>
  </si>
  <si>
    <t>200 m</t>
  </si>
  <si>
    <t>Zona de siguranţă  coincide cu zona de protecţie.</t>
  </si>
  <si>
    <t xml:space="preserve">pentru posturi de transformare  supraterane realizate în construcţie zidită sau înglobate în clădiri prevăzute cu echipament cu ulei </t>
  </si>
  <si>
    <t xml:space="preserve">pentru posturi de transformare supraterane, realizate în construcţie zidită  sau înglobate în clădiri, dar numai prevăzute cu echipament uscat </t>
  </si>
  <si>
    <t>pentru posturi de transformare dotate cu transformatoare cu ulei, de tip aerian</t>
  </si>
  <si>
    <t xml:space="preserve">numai pentru posturi de transformare  supraterane realizate în construcţie zidită sau înglobate în clădiri prevăzute cu echipament cu ulei </t>
  </si>
  <si>
    <t xml:space="preserve">pentru posturi de transformare supraterane, realizate în construcţie zidită  sau înglobate în clădiri prevăzute cu echipament uscat </t>
  </si>
  <si>
    <t xml:space="preserve">Sistem de măsurare inteligentă a energiei electrice este: </t>
  </si>
  <si>
    <t xml:space="preserve"> un  sistem de măsurare a energiei electrice care permite transmiterea bidirecţională securizată a datelor de măsurare, în conformitate cu reglementările în vigoare</t>
  </si>
  <si>
    <t xml:space="preserve"> un  sistem de măsurare a energiei electrice care permite transmiterea unidirecţională securizată a datelor de măsurare, în conformitate cu reglementările în vigoare</t>
  </si>
  <si>
    <t xml:space="preserve"> un  sistem de măsurare a energiei electrice  care permite înregistrarea şi stocarea multiplă a datelor, fără transmitere, cu posibilităţi de descărcare locală, utilizând exclusiv contoare electronice</t>
  </si>
  <si>
    <t>Încadrarea punctelor de măsurare aferente locurilor de consum în una dintre categoriile A, B, C, se face în funcţie de:</t>
  </si>
  <si>
    <t>energia electricã consumatã în ultimele 12 luni, pentru locurile de consum existente</t>
  </si>
  <si>
    <t xml:space="preserve"> puterea aprobată prin avizul tehnic de racordare / certificatul de racordare</t>
  </si>
  <si>
    <t>energia electricã anualã contractatã, pentru locurile de consum noi</t>
  </si>
  <si>
    <t>Operatorul de măsurare a energiei electrice pe piaţa angro de energie electrică din România:</t>
  </si>
  <si>
    <t xml:space="preserve"> poate fi oricare operator de distribuție concesionar </t>
  </si>
  <si>
    <t>este unic, respectiv operatorul de transport şi de sistem prin structura internă distinctă OMEPA</t>
  </si>
  <si>
    <t xml:space="preserve"> poate fi oricare producător</t>
  </si>
  <si>
    <t>În reţelele electrice trifazate, măsurarea energiei electrice se efectuează:</t>
  </si>
  <si>
    <t xml:space="preserve"> utilizând tensiunea şi curentul electric de pe toate cele trei faze în cazul rețelelor de 20 kV</t>
  </si>
  <si>
    <t>tensiunile şi curenţii de pe toate cele trei faze, la joasă, medie şi înaltă tensiune</t>
  </si>
  <si>
    <t>În cazul reţelelor electrice trifazate care nu au neutrul legat direct la pământ, se admite măsurarea utilizând curentul electric de pe două faze şi tensiunea dintre faze.</t>
  </si>
  <si>
    <t xml:space="preserve"> Înfăşurările secundare ale transformatoarelor de curent şi tensiune pentru măsurare: </t>
  </si>
  <si>
    <t xml:space="preserve">se utilizează exclusiv pentru conectarea contoarelor de decontare </t>
  </si>
  <si>
    <t xml:space="preserve">se utilizează numai pentru conectarea contoarelor, inclusiv a celor martor. </t>
  </si>
  <si>
    <t xml:space="preserve">se utilizează pentru conectarea tuturor aparatelor de măsurare, cu dimensionarea corespunzătoare a circuitelor  </t>
  </si>
  <si>
    <t xml:space="preserve">Puncte de măsurare de categoria C sunt cele: </t>
  </si>
  <si>
    <t xml:space="preserve">utilizate pentru măsurarea energiei electrice tranzitate prin punctele de delimitare dintre reţeaua electrică de interes public şi instalaţiile de utilizare ale utilizatorilor racordaţi la medie sau joasă tensiune cu puterea aprobată mai mică sau egală cu 100 kW. </t>
  </si>
  <si>
    <t xml:space="preserve">utilizate pentru măsurarea energiei electrice tranzitate prin punctele de delimitare dintre reţeaua electrică de interes public şi instalaţiile de utilizare ale utilizatorilor racordaţi la joasă tensiune cu puterea aprobată mai mică sau egală cu 100 kW. </t>
  </si>
  <si>
    <t xml:space="preserve">utilizate pentru măsurarea energiei electrice tranzitate prin punctele de delimitare dintre reţeaua electrică de interes public şi instalaţiile de utilizare ale utilizatorilor racordaţi la joasă tensiune indiferent de puterea aprobată  </t>
  </si>
  <si>
    <t xml:space="preserve">Punctele de măsurare din subcategoria C3 sunt puncte de măsurare dotate cu  grupuri de măsurare: </t>
  </si>
  <si>
    <t xml:space="preserve">capabile să asigure date de măsurare la intervale de 60 de minute şi transmiterea bidirecţională a acestora la sistemul central de gestiune a datelor de măsurare la fiecare                                         24 de ore </t>
  </si>
  <si>
    <t xml:space="preserve"> capabile să asigure date de măsurare la intervale de 15 minute şi transmiterea bidirecţională a acestora la sistemul central de gestiune a datelor de măsurare la fiecare 15 minute </t>
  </si>
  <si>
    <t xml:space="preserve">cu citire locală </t>
  </si>
  <si>
    <t>Accesul la reţeaua electrica de interes public este definit ca fiind:</t>
  </si>
  <si>
    <t>Obligaţia unor persoane fizice sau juridice de a se racorda, in condiţiile legii, la reţelele electrice de transport sau de distribuţie</t>
  </si>
  <si>
    <t>Obligaţia unor persoane fizice sau juridice de a consuma energie electrica achiziţionata de pe piaţa de energie electrica in regim concurenţial</t>
  </si>
  <si>
    <t>ansamblul de reguli prin care un terţ îşi exercită dreptul de a se racorda și a utiliza reţelele electrice de transport şi de distribuţie, în condiţiile legii;</t>
  </si>
  <si>
    <t>ANRE este:</t>
  </si>
  <si>
    <t>Agenţie naţională de reglementare în domeniul energiei termice</t>
  </si>
  <si>
    <t>Autoritatea Naţionala de Reglementare pentru Serviciile Publice de Gospodărie Comunala</t>
  </si>
  <si>
    <t xml:space="preserve">Autoritatea Naţionala de Reglementare in domeniul Energiei </t>
  </si>
  <si>
    <t>Asupra terenurilor aflate in proprietatea terţilor, cuprinse in zonele de protecţie si de siguranţa ale capacităţilor energetice, se stabileşte pentru deţinătorul capacităţilor energetice:</t>
  </si>
  <si>
    <t>drept de utilizare gratuită</t>
  </si>
  <si>
    <t>drept de proprietate</t>
  </si>
  <si>
    <t>drept de servitute legală</t>
  </si>
  <si>
    <t xml:space="preserve">O persoană care deţinea în proprietate sau în folosinţă o reţea electrică de distribuţie proprie la data intrării în vigoare Legii nr,123/2012: </t>
  </si>
  <si>
    <t>nu are obligaţii privind asigurarea accesului la reţea</t>
  </si>
  <si>
    <t xml:space="preserve">este obligată să asigure accesul la reţea numai pentru producători de energie electrică din surse regenerabile </t>
  </si>
  <si>
    <t>este obligată să asigure accesul la reţea, conform reglementărilor autorităţii competente</t>
  </si>
  <si>
    <t xml:space="preserve">Clientul casnic este clientul care: </t>
  </si>
  <si>
    <t>Utilizează energie electrică în exclusivitate pentru iluminatul artificial din propria locuinţă şi din afara acesteia, fiind racordat la o reţea electrică monofazată de joasă tensiune</t>
  </si>
  <si>
    <t>Utilizează energie electrică pentru funcţionarea receptoarelor electrocasnice din propria locuinţa, precum si pentru realizarea de activităţi comerciale sau prestarea de servicii</t>
  </si>
  <si>
    <t xml:space="preserve">cumpără energie electrică pentru propriul consum casnic, excluzând consumul pentru activităţi comerciale sau profesionale </t>
  </si>
  <si>
    <t>Finanţarea lucrărilor de electrificare a localităţilor este obligaţia:</t>
  </si>
  <si>
    <t>autorităţilor locale</t>
  </si>
  <si>
    <t xml:space="preserve"> ministerului de resort</t>
  </si>
  <si>
    <t xml:space="preserve">operatorului de distribuţie în executarea contractului de concesiune </t>
  </si>
  <si>
    <t>Furnizorul de energie electrică este îndreptăţit sã rezilieze contractul de furnizare a energiei electrice în caz de:</t>
  </si>
  <si>
    <t>neplata abonamentului radio-tv</t>
  </si>
  <si>
    <t>sustragerea de energie electrică constatată prin hotărâre judecătorească definitivă</t>
  </si>
  <si>
    <t>neplata unei facturi la termenul scadent</t>
  </si>
  <si>
    <t>Furnizorul de energie electrică este îndreptăţit sã rezilieze contractul de furnizare a energiei electrice numai în caz de:</t>
  </si>
  <si>
    <t>consum de energie mai mare decât cel aferent puterii aprobate prin avizul tehnic de racordare</t>
  </si>
  <si>
    <t>consumarea unei cantităţi de energie mai mare decât cea contractată</t>
  </si>
  <si>
    <t>sustragerea de energie electrică constatată prin hotărâre judecătorească definitivă, neplata facturilor sau în alte situaţii prevăzute de legislaţia în vigoare.</t>
  </si>
  <si>
    <t xml:space="preserve">În cazul constatării, conform prevederilor legale în vigoare, a unor acţiuni menite să sustragă energia electrică prin ocolirea echipamentelor de măsurare: </t>
  </si>
  <si>
    <t>clientul final va fi sancţionat contravenţional</t>
  </si>
  <si>
    <t>clientului final i se va rezilia contractul de furnizare</t>
  </si>
  <si>
    <t xml:space="preserve"> furnizorul este îndreptăţit să solicite unui client final constituirea de garanţii financiare pentru o perioadă de consum echivalent de maximum un an </t>
  </si>
  <si>
    <t>Pe piaţa cu amănuntul, furnizorii vând energie electrică clienţilor finali prin:</t>
  </si>
  <si>
    <t xml:space="preserve">Contracte bilaterale la preţuri reglementate </t>
  </si>
  <si>
    <t>Contracte bilaterale la tarife fixe</t>
  </si>
  <si>
    <t>contracte bilaterale, la preţuri negociate sau stabilite prin oferte-tip</t>
  </si>
  <si>
    <t>Tarifele de racordare la reţea sunt:</t>
  </si>
  <si>
    <t>stabilite de operatorii de reţea</t>
  </si>
  <si>
    <t>negociate cu solicitantul</t>
  </si>
  <si>
    <t>reglementate de ANRE</t>
  </si>
  <si>
    <t>ANRE poate aplica sancţiuni contravenţionale în cazul în care un electrician :</t>
  </si>
  <si>
    <t>deține adeverință de electrician autorizat și comite o faptă prevăzută în Regulamentul de autorizare ca fiind permisă</t>
  </si>
  <si>
    <t xml:space="preserve">desfăşoară activităţi de realizare de instalații electrice, pe cont propriu, în calitate de PFA </t>
  </si>
  <si>
    <t>deține adeverință/legitimație de electrician autorizat și desfăşoară activităţi de realizare de instalații electrice într-o formă care nu este prevăzută în regulamentul de autorizare</t>
  </si>
  <si>
    <t xml:space="preserve">Autorizarea electricienilor în domeniul instalaţiilor electrice, respectiv a verificatorilor de proiecte şi a experţilor tehnici de calitate şi extrajudiciari în domeniul instalaţiilor electrice tehnologice se realizează </t>
  </si>
  <si>
    <t>de către Ministerul învăţământului</t>
  </si>
  <si>
    <t>de către operatorul de distribuţie</t>
  </si>
  <si>
    <t>numai conform reglementărilor emise de ANRE</t>
  </si>
  <si>
    <t>Electricianul autorizat pentru gradul III, tip A+B are următoarele competenţe:</t>
  </si>
  <si>
    <t>De a proiecta şi executa instalaţii electrice cu orice putere instalată tehnic realizabilă şi la o tensiune nominală maximă de 110 kV</t>
  </si>
  <si>
    <t>De a proiecta şi executa instalaţii electrice cu orice putere instalată tehnic realizabilă şi la o tensiune nominală maximă de 6 kV</t>
  </si>
  <si>
    <t>De a proiecta şi executa instalaţii electrice cu orice putere instalată tehnic realizabilă şi la o tensiune nominală maximă de 20 kV</t>
  </si>
  <si>
    <t>ANRE - Autoritatea Naţională de Reglementare în domeniul Energiei este abilitată prin lege să constate şi să sancţioneze:</t>
  </si>
  <si>
    <t xml:space="preserve">executarea unor lucrări de proastă calitate </t>
  </si>
  <si>
    <t xml:space="preserve"> încălcarea de către participanţii la piaţa de energie electrică a reglementărilor tehnice şi/sau comerciale emise de ANRE</t>
  </si>
  <si>
    <t>încălcarea prevederilor legislaţiei muncii</t>
  </si>
  <si>
    <t>Electricienii care doresc să solicite autorizarea, pentru a fi acceptaţi la examen trebuie să îndeplinească următoarele condiţii:</t>
  </si>
  <si>
    <t>Să transmită la ANRE o cerere şi documentaţie anexată, din care să reiasă doar calificarea profesională</t>
  </si>
  <si>
    <t>Să transmită la ANRE o cerere şi documentaţie anexată, din care să reiasă doar experienţa practică în domeniul instalaţiilor electrice</t>
  </si>
  <si>
    <t>Să transmită la ANRE o cerere şi documentaţie anexată, din care să reiasă atât calificarea cât si experienţa profesională în domeniul instalaţiilor electrice</t>
  </si>
  <si>
    <r>
      <t xml:space="preserve">În cazul în care electricianul autorizat îşi pierde </t>
    </r>
    <r>
      <rPr>
        <sz val="11"/>
        <rFont val="Times New Roman"/>
        <family val="1"/>
      </rPr>
      <t>Legitimaţia/Adeverinţa de electrician autorizat,</t>
    </r>
    <r>
      <rPr>
        <sz val="11"/>
        <rFont val="Times New Roman"/>
        <family val="1"/>
        <charset val="238"/>
      </rPr>
      <t xml:space="preserve"> la solicitarea sa, ANRE poate emite un duplicat, dacă: </t>
    </r>
  </si>
  <si>
    <t>Legitimaţia/Adeverinţa de electrician autorizat este declarată nulă, într-un ziar local şi titularul achită tariful de autorizare aprobat</t>
  </si>
  <si>
    <r>
      <t xml:space="preserve">Legitimaţia/Adeverinţa de electrician autorizat este declarată nulă, într-un ziar local şi titularul achită o penalitate în cuantum de </t>
    </r>
    <r>
      <rPr>
        <sz val="11"/>
        <rFont val="Times New Roman"/>
        <family val="1"/>
      </rPr>
      <t>200</t>
    </r>
    <r>
      <rPr>
        <sz val="11"/>
        <rFont val="Times New Roman"/>
        <family val="1"/>
        <charset val="238"/>
      </rPr>
      <t xml:space="preserve"> RON indiferent de gradul şi tipul de autorizare</t>
    </r>
  </si>
  <si>
    <t>Legitimaţia/Adeverinţa de electrician autorizat este declarată nulă, într-un ziar local şi titularul achită un tarif de emitere a duplicatului, conform prevederilor din regulamentul de autorizare</t>
  </si>
  <si>
    <t xml:space="preserve">Pentru a fi valabilă, adeverinţa de electrician autorizat </t>
  </si>
  <si>
    <t xml:space="preserve">va fi prezentață ANRE pentru a fi vizată, la termenul prevăzut, după achitarea în prealabil a tariful de vizare, egal cu tariful de acordare a respectivului tip şi grad de autorizare  </t>
  </si>
  <si>
    <t xml:space="preserve">va fi prezentață ANRE pentru a fi vizată, la termenul prevăzut, după susținerea în prealabil a unui nou examen </t>
  </si>
  <si>
    <t xml:space="preserve">va fi prezentață ANRE pentru a fi vizată, la termenul prevăzut, după achitarea în prealabil a tariful de vizare, diferit de tariful de acordare a respectivului tip şi grad de autorizare  </t>
  </si>
  <si>
    <t>Termenul de vizare a adeverinţei de electrician autorizat,  de la data emiterii documentului sau, după caz, de la data ultimei vizări, este de</t>
  </si>
  <si>
    <t>3 ani</t>
  </si>
  <si>
    <t>4 ani</t>
  </si>
  <si>
    <t>5 ani</t>
  </si>
  <si>
    <t>Calitatea de autoritate contractantă pentru concesionarea bunurilor proprietate publică sau privată a statului din domeniul energetic, precum şi pentru activităţile sau serviciile publice de interes naţional și general din domeniul energiei electrice o are</t>
  </si>
  <si>
    <t xml:space="preserve"> Ministerul de resort  </t>
  </si>
  <si>
    <t>ANRE - Autoritatea Naţională de Reglementare în domeniul Energiei</t>
  </si>
  <si>
    <t>ANRSC - Autoritatea Naţională de Reglementare in domeniul Serviciilor Comunale</t>
  </si>
  <si>
    <t>Trecerea la un grad de autorizare superior se poate face:</t>
  </si>
  <si>
    <t>după 5 ani de experienţă în baza gradului de autorizare deţinut</t>
  </si>
  <si>
    <t xml:space="preserve">prin vizarea la termen de către ANRE a adeverinței de electrician autorizat </t>
  </si>
  <si>
    <t xml:space="preserve">pe bază de examen </t>
  </si>
  <si>
    <t xml:space="preserve">Pot face obiectul unei concesiuni energetice: </t>
  </si>
  <si>
    <t>numai bunurile proprietate publică sau privată a statului</t>
  </si>
  <si>
    <t>activităţile şi serviciile publice de interes naţional şi general  din domeniul energiei electrice.</t>
  </si>
  <si>
    <t>bunurile utilizate în activitatea de furnizare a energiei electrice</t>
  </si>
  <si>
    <t>Constituie contravenţie:</t>
  </si>
  <si>
    <t>refuzul clienţilor finali de a permite accesul personalului operatorului de măsurare la grupurile de măsurare</t>
  </si>
  <si>
    <t xml:space="preserve">încheierea de către un client final pentru un loc de consum a două contracte de furnizare a energiei electrice cu furnizori diferiți </t>
  </si>
  <si>
    <t>sustragerea de energie electrica</t>
  </si>
  <si>
    <t>Constituie infracţiune:</t>
  </si>
  <si>
    <t>Executarea de săpături sau lucrări de orice fel in zonele de protecţie a instalaţiilor, fara consimţământul prealabil al proprietarului acestora</t>
  </si>
  <si>
    <t>modificarea fără drept a componentelor instalaţiilor energetice</t>
  </si>
  <si>
    <t>Nerespectarea reglementărilor emise de ANRE</t>
  </si>
  <si>
    <t>Regulamentul pentru atestarea operatorilor economici  care proiectează, execută şi verifică  instalaţii electrice din sistemul electroenergetic este aprobat de către:</t>
  </si>
  <si>
    <t>Guvernul României</t>
  </si>
  <si>
    <t>Ministerul de resort</t>
  </si>
  <si>
    <t xml:space="preserve">ANRE </t>
  </si>
  <si>
    <t xml:space="preserve">Se recomandă includerea în subcategoria C3 a punctelor de măsurare ale utilizatorilor reţelelor electrice de interes public: </t>
  </si>
  <si>
    <t xml:space="preserve">racordaţi la joasă tensiune, cu consum mediu anual mai mic sau egal cu 2.400 kWh/an şi mai mare de 1.200 kWh/an, respectiv producţie medie anuală mai mică sau egală cu 2.400 kWh/an; </t>
  </si>
  <si>
    <t xml:space="preserve">racordaţi la joasă tensiune, cu consum mediu anual/producţie medie anuală mai mare de 2.400 kWh/an; </t>
  </si>
  <si>
    <t xml:space="preserve">racordaţi la joasă tensiune, cu consum mediu anual mai mic sau egal cu 1.200 kWh/an. </t>
  </si>
  <si>
    <t xml:space="preserve">Într-un sistem de producere distribuită - </t>
  </si>
  <si>
    <t>centralele de producere a energiei electrice sunt conectate la reţeaua de distribuţie;</t>
  </si>
  <si>
    <t xml:space="preserve">centralele de producere a energiei electrice sunt conectate la reţeaua de de transport </t>
  </si>
  <si>
    <t>centralele de producere a energiei electrice sunt conectate la un sistem electroenergetic izolat</t>
  </si>
  <si>
    <t>Codul tehnic al reţelelor electrice de distribuţie (Codul RED), reglementare ce este parte constitutivă a legislaţiei secundare, este aprobat de către:</t>
  </si>
  <si>
    <t>Ministerul Economiei şi Finanţelor</t>
  </si>
  <si>
    <t>ANRE</t>
  </si>
  <si>
    <t>Criteriile de promovare a energiei electrice produse in centrale electrice de cogenerare de înalta eficienta au in vedere:</t>
  </si>
  <si>
    <t>Promovarea utilizării eficiente a combustibililor</t>
  </si>
  <si>
    <t xml:space="preserve">promovarea producerii distribuite </t>
  </si>
  <si>
    <t>Promovarea utilizării surselor regenerabile</t>
  </si>
  <si>
    <t>Codul tehnic al reţelelor electrice de distribuţie reglementează activitatea operatorilor de distribuţie:</t>
  </si>
  <si>
    <t>la care acţionar principal este statul român</t>
  </si>
  <si>
    <t>la care acţionar majoritar nu este statul român</t>
  </si>
  <si>
    <t>tuturor operatorilor de distribuţie, indiferent de acţionarul majoritar</t>
  </si>
  <si>
    <t xml:space="preserve">Obligaţiile de serviciu public pentru operatorii economici din sectorul energiei electrice se pot stabili: </t>
  </si>
  <si>
    <t>în conformitate cu prevederile Legii serviciilor publice de gospodărire comunală</t>
  </si>
  <si>
    <t>prin reglementări ale ANRE</t>
  </si>
  <si>
    <t>numai prin prin hotărâre a Guvernului</t>
  </si>
  <si>
    <t>Standardul de performanţă pentru serviciul de distribuţie a energiei electrice stabileşte indicatori de performanţă privind:</t>
  </si>
  <si>
    <t>Evenimentele accidentale produse de terţi asupra reţelelor electrice din patrimoniul public</t>
  </si>
  <si>
    <t>Debranşarea consumatorilor rău-platnici de la relele electrice de distribuţie</t>
  </si>
  <si>
    <t xml:space="preserve">Întreruperile programate, pentru executarea lucrărilor de dezvoltare, retehnologizare şi mentenanţă </t>
  </si>
  <si>
    <t>Furnizorul de energie electrică este îndreptăţit sã rezilieze contractul de furnizare a energiei electrice  în caz de:</t>
  </si>
  <si>
    <t xml:space="preserve">racordare ilegală la reţeaua de distribuţie </t>
  </si>
  <si>
    <t xml:space="preserve">depășire a cantității de energie contractate </t>
  </si>
  <si>
    <t xml:space="preserve">Se integrează în sisteme de măsurare inteligentă punctele de măsurare din:   
</t>
  </si>
  <si>
    <t>subcategoria C1</t>
  </si>
  <si>
    <t>subcategoria C4</t>
  </si>
  <si>
    <t>subcategoria C3</t>
  </si>
  <si>
    <t>În conformitate cu prevederile legii nr.123/2012  sunt considerate surse regenerabile de energie:</t>
  </si>
  <si>
    <t xml:space="preserve">gazul metan </t>
  </si>
  <si>
    <t xml:space="preserve"> energia eoliană</t>
  </si>
  <si>
    <t>Energia electrică obţinută prin arderea combustibililor fosili</t>
  </si>
  <si>
    <t>Nerespectarea normelor tehnice emise de către ANRE constituie:</t>
  </si>
  <si>
    <t>Infracţiune</t>
  </si>
  <si>
    <t>Contravenţie</t>
  </si>
  <si>
    <t>Abatere</t>
  </si>
  <si>
    <t xml:space="preserve">Actualizarea avizului tehnic de racordare atunci când se produce schimbarea titularului locului de producere sau de consum </t>
  </si>
  <si>
    <t>este obligatorie numai dacă se modifică puterea aprobată anterior prin avizul tehnic de racordare;</t>
  </si>
  <si>
    <t xml:space="preserve">este obligatorie </t>
  </si>
  <si>
    <t xml:space="preserve">Energia electrică furnizată clienţilor finali pe piaţa de energie electrică şi energia electrică produsă în instalaţiile utilizatorilor se măsoară de către operatorii de măsurare, prin grupuri de măsurare, conform codului de măsurare elaborat de : </t>
  </si>
  <si>
    <t xml:space="preserve"> Ministerul de resort</t>
  </si>
  <si>
    <t>Operatorul de distribuţie:</t>
  </si>
  <si>
    <t xml:space="preserve">Exploatează, retehnologizează, reabilitează si dezvolta reţelele electrice de distribuţie, cu respectarea reglementarilor tehnice in vigoare  </t>
  </si>
  <si>
    <t xml:space="preserve">Asigură exploatarea rețelei de iluminat public realizată pe infrastructura rețelei de distribuție </t>
  </si>
  <si>
    <t>Încasează contravaloarea energiei electrice furnizate</t>
  </si>
  <si>
    <t>Operatorul de transport si de sistem este:</t>
  </si>
  <si>
    <t xml:space="preserve">orice persoană fizică sau juridică ce deţine, sub orice titlu, o reţea electrică de transport şi care răspunde de operarea, asigurarea întreţinerii şi, dacă este necesar, de dezvoltarea reţelei de transport într-o anumită zonă </t>
  </si>
  <si>
    <t>Orice persoana care deţine, sub orice titlu o reţea electrica de distribuţie si este titulara unei licenţe de distribuţie</t>
  </si>
  <si>
    <t>Persoana juridică proprietară a reţelelor electrice de transport, pe care le exploatează in baza licenţei pentru furnizarea energiei electrice</t>
  </si>
  <si>
    <t>În cazul existenţei mai multor puncte de delimitare, se consideră un singur loc de consum şi o singură instalaţie de utilizare dacă:</t>
  </si>
  <si>
    <t>instalaţiile din aval aferente fiecărui punct de delimitare sunt legate electric între ele prin reţele ale operatorului de distribuţie;</t>
  </si>
  <si>
    <t xml:space="preserve">dacă există un singur proprietar  </t>
  </si>
  <si>
    <t>instalaţiile din aval aferente fiecărui punct de delimitare sunt legate electric între ele prin reţele ale utilizatorului.</t>
  </si>
  <si>
    <r>
      <t>Pentru protejarea reţelelor electrice de distribuţie</t>
    </r>
    <r>
      <rPr>
        <sz val="11"/>
        <rFont val="Times New Roman"/>
        <family val="1"/>
      </rPr>
      <t>,</t>
    </r>
    <r>
      <rPr>
        <sz val="11"/>
        <rFont val="Times New Roman"/>
        <family val="1"/>
        <charset val="238"/>
      </rPr>
      <t xml:space="preserve"> persoanelor fizice si juridice:</t>
    </r>
  </si>
  <si>
    <t xml:space="preserve">li se interzice să efectueze construcţii de orice fel în zona de siguranţă a reţelelor electrice de distribuţie, fără avizul de amplasament al operatorului de transport și sistem </t>
  </si>
  <si>
    <t>li se interzice să limiteze sau să îngrădească, prin execuţia de împrejmuire, prin construcţii ori prin orice alt mod, accesul la instalaţii al operatorului de distribuţie</t>
  </si>
  <si>
    <t>li se permite depozitarea de materiale pe culoarul de trecere si in zonele de protecţie si de siguranţa ale instalaţiilor, fara acordul operatorului de reţea, cu condiţia să fie proprietar al terenului</t>
  </si>
  <si>
    <t>Printre obiectivele de baza ale Legii nr. 123/2012 se regăsesc:</t>
  </si>
  <si>
    <t>asigurarea accesului nediscriminatoriu şi reglementat al tuturor participanţilor la piaţa de energie electrică şi la reţelele electrice de interes public a consumatorilor</t>
  </si>
  <si>
    <t xml:space="preserve">intensificarea cercetărilor pentru identificarea unor noi bazine carbonifere </t>
  </si>
  <si>
    <t>Determinarea soluţiilor de racordare a utilizatorilor la reţelele electrice de interes public</t>
  </si>
  <si>
    <r>
      <t xml:space="preserve">Reţea electrică de interes public este o reţea electrică la care sunt racordaţi </t>
    </r>
    <r>
      <rPr>
        <sz val="11"/>
        <rFont val="Times New Roman"/>
        <family val="1"/>
      </rPr>
      <t>cel puţin</t>
    </r>
    <r>
      <rPr>
        <sz val="11"/>
        <rFont val="Times New Roman"/>
        <family val="1"/>
        <charset val="238"/>
      </rPr>
      <t>:</t>
    </r>
  </si>
  <si>
    <t xml:space="preserve">  3 utilizatori</t>
  </si>
  <si>
    <t xml:space="preserve">  2 utilizatori</t>
  </si>
  <si>
    <t xml:space="preserve"> un utilizator</t>
  </si>
  <si>
    <t>Obţinerea avizului tehnic de racordare de către un utilizator:</t>
  </si>
  <si>
    <t xml:space="preserve"> nu este obligatorie pentru o durata mai mică de 6 luni</t>
  </si>
  <si>
    <t xml:space="preserve"> nu este obligatorie pentru o putere ceruta sub 100 kW</t>
  </si>
  <si>
    <t xml:space="preserve">este obligatorie pentru orice loc de producere nou </t>
  </si>
  <si>
    <t>Sursele staţionare de energie electrică în curent continuu, dacă nu sunt racordate prin invertoare la SEN, se supun supun dispoziţiilor Legii nr. 123/2012?</t>
  </si>
  <si>
    <t>Da</t>
  </si>
  <si>
    <t>Nu</t>
  </si>
  <si>
    <t>Da, doar sub aspectul stabilirii preţului de vânzare e energiei electrice produse</t>
  </si>
  <si>
    <r>
      <t xml:space="preserve">Executarea sau folosirea de instalaţii clandestine în scopul racordării directe la reţea </t>
    </r>
    <r>
      <rPr>
        <sz val="11"/>
        <rFont val="Times New Roman"/>
        <family val="1"/>
      </rPr>
      <t>constituie:</t>
    </r>
  </si>
  <si>
    <t>contravenţie</t>
  </si>
  <si>
    <t>infracţiune</t>
  </si>
  <si>
    <t>contravenţie sau infracţiune, după caz</t>
  </si>
  <si>
    <t>Avizul tehnic de racordare emis îşi încetează valabilitatea:</t>
  </si>
  <si>
    <t>la încheierea contractului de racordare</t>
  </si>
  <si>
    <t>în termen de 6 luni de la emitere, dacă nu a fost încheiat contractul de racordare;</t>
  </si>
  <si>
    <t xml:space="preserve"> în termen de 12 luni de la emitere, dacă nu a fost încheiat contractul de racordare;</t>
  </si>
  <si>
    <t xml:space="preserve">În cazul unui ansamblu de blocuri de locuinţe, grupurile de măsurare individuale se poziţionează </t>
  </si>
  <si>
    <t>pe tablourile din apartamente</t>
  </si>
  <si>
    <t>centralizat, la limita zonei de proprietate asupra terenului, in exteriorul construcţiei</t>
  </si>
  <si>
    <t>centralizat, la parter sau pe palier</t>
  </si>
  <si>
    <t>Soluţia de racordare se stabileşte printr-o fişă de soluţie pentru:</t>
  </si>
  <si>
    <t>utilizatorii perturbatori</t>
  </si>
  <si>
    <t xml:space="preserve"> utilizatorii de tip distribuitori, indiferent de tensiunea reţelei la care se racordează</t>
  </si>
  <si>
    <r>
      <t>locurile de consum care se racordează la reţele electrice de medie sau joasă tensiune, indiferent de puterea solicitată, dacă soluţia de racordare este unică şi/sau evidentă</t>
    </r>
    <r>
      <rPr>
        <i/>
        <sz val="11"/>
        <color rgb="FF0070C0"/>
        <rFont val="Times New Roman"/>
        <family val="1"/>
      </rPr>
      <t/>
    </r>
  </si>
  <si>
    <t>Soluţia de racordare se stabileşte printr-un studiu de soluţie pentru:</t>
  </si>
  <si>
    <t>locurile de consum având puterea maximă simultană absorbită mai mică de 30 kVA, indiferent de categoria din care fac parte din punct de vedere al activităţii lor</t>
  </si>
  <si>
    <t xml:space="preserve"> locurile de consum existente pentru care se solicită un spor de putere ce poate fi acordat prin instalaţiile de racordare existente, indiferent de tensiunea reţelei la care sunt racordate.</t>
  </si>
  <si>
    <t>locurile de consum şi/sau de producere care, prin tipul lor şi caracteristicile echipamentelor instalaţiilor de utilizare şi/sau al proceselor tehnologice, impun necesitatea unei analize pentru stabilirea impactului racordării asupra reţelei şi a celorlalţi utilizatori şi stabilirea măsurilor pentru încadrarea acestui impact în limitele normate</t>
  </si>
  <si>
    <t>Autoritatea  Naţională de Reglementare în domeniul Energiei analizează şi soluţionează eventualele contestaţii cu privire la:</t>
  </si>
  <si>
    <t xml:space="preserve">avizele tehnice de racordare </t>
  </si>
  <si>
    <t>calitate lucrărilor de racordare la reţelele electrice de interes public</t>
  </si>
  <si>
    <t>calitatea execuţiei instalaţiilor interioare ale clădirilor civile</t>
  </si>
  <si>
    <t>Neînţelegerile privind racordarea utilizatorilor la reţelele electrice de interes public, dintre operatorii de distribuţie şi solicitanţi, se soluţionează:</t>
  </si>
  <si>
    <t>întotdeauna pe cale amiabilă</t>
  </si>
  <si>
    <t>de autoritatea competentă conform reglementărilor în vigoare</t>
  </si>
  <si>
    <t>întotdeauna în justiţie</t>
  </si>
  <si>
    <t>ANRE poate aplica sancţiuni contravenţionale unui electrician autorizat pentru:</t>
  </si>
  <si>
    <t>Comiterea unei fapte prevăzute în Regulamentul de autorizare ca fiind interzisă</t>
  </si>
  <si>
    <t>Desfăşurarea activităţii în baza unei adeverințe (legitimații) de electrician autorizat emisă în urmă cu 4 ani</t>
  </si>
  <si>
    <t xml:space="preserve">Desfăşurarea de activităţi in calitate de întreprindere individuală </t>
  </si>
  <si>
    <t>Autorizarea unui electrician se realizează în urma:</t>
  </si>
  <si>
    <t>promovării unui examen de autorizare</t>
  </si>
  <si>
    <t>promovării unui concurs de autorizare, cu număr limitat de locuri</t>
  </si>
  <si>
    <t>unui interviu în faţa unei comisii ANRE</t>
  </si>
  <si>
    <t>Calitatea de electrician autorizat gradul III (A sau B) acordă titularilor de adeverință următoarele competenţe:</t>
  </si>
  <si>
    <t xml:space="preserve">După caz, proiectare (A)/ executare (B) de instalaţii electrice, cu orice putere instalată tehnic realizabilă şi la o tensiune nominală maximă de 20 kV   </t>
  </si>
  <si>
    <t>După caz, proiectare (A)/ executare (B) de instalaţii electrice cu putere instalată oricât de mare este tehnic realizabilă şi la o tensiune nominală mai mică de 220 kV</t>
  </si>
  <si>
    <t>După caz, proiectare (A)/ executare (B) de instalaţii electrice cu putere instalată maximă de 100 kW şi la o tensiune nominală de cel mult 110 kV</t>
  </si>
  <si>
    <t>Electricianul autorizat pentru gradul II, tip A+B are următoarele competenţe:</t>
  </si>
  <si>
    <t>De a proiecta şi executa instalaţii electrice cu putere instalată de cel mult 10 kW şi la o tensiune nominală mai mică de 1 kV</t>
  </si>
  <si>
    <t>De a proiecta şi executa instalaţii electrice cu orice putere instalată tehnic realizabilă şi la o tensiune nominală mai mică de 1 kV</t>
  </si>
  <si>
    <t>Electricianul autorizat pentru gradul IV, tip A+B are următoarele competenţe:</t>
  </si>
  <si>
    <t>De a proiecta şi executa instalaţii electrice cu orice putere instalată tehnic realizabilă şi la orice tensiune nominală standardizată</t>
  </si>
  <si>
    <t>De a executa instalaţii electrice cu orice putere instalată tehnic realizabilă şi la o tensiune nominală maximă de 220 kV</t>
  </si>
  <si>
    <t xml:space="preserve">Autorizarea pentru proiectare de instalaţii electrice este o autorizare de tip </t>
  </si>
  <si>
    <t>A</t>
  </si>
  <si>
    <t>B</t>
  </si>
  <si>
    <t>C</t>
  </si>
  <si>
    <t>Este interzis electricianului autorizat:</t>
  </si>
  <si>
    <t>Să proiecteze instalaţii electrice în cazul în care deţine doar autorizaţie de tip A</t>
  </si>
  <si>
    <t>Să proiecteze instalaţii electrice în cazul în care nu deţine o autorizaţie de tip A</t>
  </si>
  <si>
    <t>Să realizeze lucrări de instalaţii electrice în baza unor documentaţii de proiectare realizate de alţi electricieni autorizaţi</t>
  </si>
  <si>
    <t>Să semneze documentaţii de orice fel pentru proiecte sau lucrări pe care nu le-a realizat sau supravegheat</t>
  </si>
  <si>
    <t xml:space="preserve">să execute lucrări după un proiect care nu a fost elaborat de el </t>
  </si>
  <si>
    <t>În vederea autorizării pentru ambele tipuri de autorizare (A şi B), electricienii:</t>
  </si>
  <si>
    <t>Trebuie să îndeplinească condiţiile de calificare şi experienţă profesionale, cumulate, pentru fiecare tip de autorizare şi susţin examene separate pentru fiecare dintre aceste tipuri</t>
  </si>
  <si>
    <t>Trebuie să îndeplinească condiţiile de calificare si experienţă profesionale, cumulate, pentru fiecare tip şi susţin un singur examen</t>
  </si>
  <si>
    <t>Trebuie sa fi fost autorizaţi în prealabil în baza Ordinului MIC nr34 din 1999</t>
  </si>
  <si>
    <t>Adeverința de electrician autorizat gradul IIIB conferă următoarele competenţe titularului:</t>
  </si>
  <si>
    <t>De executare de  instalaţii electrice cu orice putere instalată tehnic realizabilă, la o tensiune nominală maximă de 20 kV</t>
  </si>
  <si>
    <t>De executare de instalaţii electrice cu orice putere instalată tehnic realizabilă, la o tensiune nominală maximă de 220 kV</t>
  </si>
  <si>
    <t>De proiectare de  instalaţii electrice cu orice putere instalată tehnic realizabilă, la o tensiune nominală maximă de 20 kV</t>
  </si>
  <si>
    <r>
      <t xml:space="preserve">Regulamentul de autorizare a electricienilor defineşte următoarele tipuri de </t>
    </r>
    <r>
      <rPr>
        <sz val="11"/>
        <rFont val="Times New Roman"/>
        <family val="1"/>
      </rPr>
      <t>autorizări</t>
    </r>
    <r>
      <rPr>
        <sz val="11"/>
        <rFont val="Times New Roman"/>
        <family val="1"/>
        <charset val="238"/>
      </rPr>
      <t>:</t>
    </r>
  </si>
  <si>
    <t>De tip E  pentru execuţie</t>
  </si>
  <si>
    <t>De tip A sau B  pentru proiectare şi respectiv executare</t>
  </si>
  <si>
    <t>Nu sunt definite tipuri de autorizare, ci doar grade de autorizare</t>
  </si>
  <si>
    <t>Sancţiunile contravenţionale aplicate de ANRE electricienilor autorizaţi pot fi asociate cu :</t>
  </si>
  <si>
    <t xml:space="preserve">retragerea autorizării acordate </t>
  </si>
  <si>
    <t xml:space="preserve">Retragerea autorizării acordate pe o perioadă de până la doi ani </t>
  </si>
  <si>
    <t xml:space="preserve">Avertizarea în scris cu retragerea autorizării acordate la prima abatere constatată </t>
  </si>
  <si>
    <t>Un electrician autorizat care execută lucrări de instalaţii electrice:</t>
  </si>
  <si>
    <t>Are obligaţia de a respecta proiectul în baza căruia execută instalaţia electrică</t>
  </si>
  <si>
    <t>Are obligaţia de a participa la recepţia şi la punerea în funcţiune a instalaţiei electrice de utilizare proiectată/ executată, chiar dacă nu i se solicită acest lucru de către beneficiarul sau operatorul de reţea la care urmează a se racorda instalaţia electrică de utilizare;</t>
  </si>
  <si>
    <t>Are dreptul de a racorda la SEN noi puncte de consum, urmând a solicita acordul operatorului de reţea după recepţia la terminarea lucrărilor</t>
  </si>
  <si>
    <t>Una dintre obligaţiile electricianului autorizat care execută lucrări de instalaţii electrice este:</t>
  </si>
  <si>
    <t>Să respecte proiectele de execuţie a lucrărilor de instalaţii electrice doar dacă sunt întocmite de el</t>
  </si>
  <si>
    <t>De a participa la recepţia şi la punerea în funcţiune a instalaţiei electrice de utilizare proiectată/ executată, în cazul în care i se solicită acest lucru de către beneficiarul sau operatorul de reţea la care urmează a se racorda instalaţia electrică de utilizare</t>
  </si>
  <si>
    <t>De a racorda la SEN noi puncte de consum, urmând a solicita acordul operatorului de reţea după recepţia la terminarea lucrărilor</t>
  </si>
  <si>
    <t>Una dintre obligaţiile electricianului care deţine autorizaţie de tip A este:</t>
  </si>
  <si>
    <t>Să proiecteze instalaţii electrice doar conform gradului si tipului de autorizare şi să respecte normele tehnice corespunzătoare tipurilor de instalaţii electrice proiectate</t>
  </si>
  <si>
    <t>Să semneze documentaţii de proiectare chiar dacă nu sunt realizate de el, astfel încât proprietarul să poată demara cât mai repede execuţia instalaţiilor</t>
  </si>
  <si>
    <t>Să execute sau să coordoneze execuţia instalaţiilor electrice de orice putere sau tensiune tehnic realizabilă</t>
  </si>
  <si>
    <t>Una dintre obligaţiile electricianului care deţine autorizaţie de tip B şi execută instalaţii electrice este:</t>
  </si>
  <si>
    <t>Să execute  instalaţii electrice numai  ca angajat al unui operator economic atestat</t>
  </si>
  <si>
    <t>Să execute  instalaţii electrice doar conform gradului si tipului de autorizare şi să respecte prevederile din proiect</t>
  </si>
  <si>
    <t>Să proiecteze instalaţii electrice doar conform gradului si tipului de autorizare, având în vedere că experienţa practică îi permite acest lucru</t>
  </si>
  <si>
    <t xml:space="preserve">Client final este: </t>
  </si>
  <si>
    <t>orice client ce cumpără energie electrică de la un producător</t>
  </si>
  <si>
    <t>orice client casnic</t>
  </si>
  <si>
    <t xml:space="preserve">orice persoană fizică sau juridică ce cumpără energie electrică angro și o vinde cu amănuntul </t>
  </si>
  <si>
    <t>Conform prevederilor referitoare la energia electrică din Legea nr. 123/2012 , noţiunile de "client final" şi "consumator" sunt:</t>
  </si>
  <si>
    <t>diferite</t>
  </si>
  <si>
    <t xml:space="preserve"> echivalente;</t>
  </si>
  <si>
    <t xml:space="preserve"> echivalente numai în cazul consumatorilor casnici</t>
  </si>
  <si>
    <r>
      <t xml:space="preserve">ANRE poate </t>
    </r>
    <r>
      <rPr>
        <sz val="11"/>
        <rFont val="Times New Roman"/>
        <family val="1"/>
      </rPr>
      <t>suspenda</t>
    </r>
    <r>
      <rPr>
        <sz val="11"/>
        <rFont val="Times New Roman"/>
        <family val="1"/>
        <charset val="238"/>
      </rPr>
      <t xml:space="preserve"> Atestatul acordat unui operator economic  </t>
    </r>
    <r>
      <rPr>
        <sz val="11"/>
        <rFont val="Times New Roman"/>
        <family val="1"/>
      </rPr>
      <t>care proiectează, execută şi verifică  instalaţii electrice</t>
    </r>
    <r>
      <rPr>
        <sz val="11"/>
        <rFont val="Times New Roman"/>
        <family val="1"/>
        <charset val="238"/>
      </rPr>
      <t xml:space="preserve"> dacă:</t>
    </r>
  </si>
  <si>
    <t>operatorul economic nu îndeplineşte criteriile de bonitate financiară corespunzătoare procedurii aplicabile</t>
  </si>
  <si>
    <t>Operatorul economic a  executat lucrări fără să aibă, în proprietate sau în folosinţă, conform prevederilor Regulamentului, dotarea tehnică minimală corespunzătoare tipului de atestat  deţinut</t>
  </si>
  <si>
    <t>ANRE nu are competenţa de a retrage Atestatele emise</t>
  </si>
  <si>
    <t xml:space="preserve">Operatorul economic nu a sigurat structura minimă de personal autorizat prevăzută la art. 14 alin. (1) lit. d) din regulament, corespunzătoare tipului de atestat deţinut, şi nu a alocat personalul din acea structură pentru realizarea lucrărilor/activităţilor contractate; </t>
  </si>
  <si>
    <t>ANRE nu poate dispune retragerea atestatelor emise</t>
  </si>
  <si>
    <t>Operatorul economic a realizat cu întârziere o măsură de conformare dispusă de ANRE cu privire la îndeplinirea unei obligaţii care îi revine în calitate de titular de atestat;</t>
  </si>
  <si>
    <r>
      <t xml:space="preserve">ANRE poate </t>
    </r>
    <r>
      <rPr>
        <sz val="11"/>
        <rFont val="Times New Roman"/>
        <family val="1"/>
      </rPr>
      <t>suspenda</t>
    </r>
    <r>
      <rPr>
        <sz val="11"/>
        <rFont val="Times New Roman"/>
        <family val="1"/>
        <charset val="238"/>
      </rPr>
      <t xml:space="preserve"> Atestatul acordat unui operator economic  </t>
    </r>
    <r>
      <rPr>
        <sz val="11"/>
        <rFont val="Times New Roman"/>
        <family val="1"/>
      </rPr>
      <t>care proiectează, execută şi verifică  instalaţii electrice</t>
    </r>
    <r>
      <rPr>
        <sz val="11"/>
        <rFont val="Times New Roman"/>
        <family val="1"/>
        <charset val="238"/>
      </rPr>
      <t>:</t>
    </r>
  </si>
  <si>
    <t xml:space="preserve">La cererea scrisă  a titularului de atestat, fără a fi necesară motivarea acesteia </t>
  </si>
  <si>
    <t xml:space="preserve"> În cazul în care se constată că titularul de atestat încalcă o obligaţie prevăzută în Condiţiile-cadru de valabilitate asociate atestatelor, aplicabile tipului de atestat deţinut;</t>
  </si>
  <si>
    <t>ANRE nu poate dispune retragerea Atestatelor emise</t>
  </si>
  <si>
    <r>
      <t xml:space="preserve">Atestatele emise de ANRE pentru desfăşurarea activităţilor operatorilor economici în instalaţii electrice instituie competenţe </t>
    </r>
    <r>
      <rPr>
        <sz val="11"/>
        <rFont val="Times New Roman"/>
        <family val="1"/>
      </rPr>
      <t>privind</t>
    </r>
    <r>
      <rPr>
        <sz val="11"/>
        <rFont val="Times New Roman"/>
        <family val="1"/>
        <charset val="238"/>
      </rPr>
      <t>:</t>
    </r>
  </si>
  <si>
    <t xml:space="preserve"> Proiectarea, executarea şi verificarea instalațiilor electrice de joasă, medie şi înaltă tensiune</t>
  </si>
  <si>
    <t>Numai la proiectarea şi executarea de lucrări pe niveluri de joasă şi medie tensiune</t>
  </si>
  <si>
    <t>Numai la efectuarea de lucrări de încercări de echipamente electrice</t>
  </si>
  <si>
    <t xml:space="preserve">Conform atribuţiilor principale prevăzute în Cod tehnic al reţelelor electrice de distribuţie (Codul RED), operatorii de distribuţie: </t>
  </si>
  <si>
    <t xml:space="preserve"> prestează serviciul public pentru toţi utilizatorii reţelelor electrice de distribuţie, permiţând accesul nediscriminatoriu la reţelele electrice de distribuţie oricărui solicitant care îndeplineşte cerinţele tehnice prevăzute în Cod</t>
  </si>
  <si>
    <t xml:space="preserve"> prestează serviciul de distribuţie doar pentru utilizatorii reţelelor electrice de distribuţie cu care au încheiat un contract de furnizare a energiei electrice</t>
  </si>
  <si>
    <t xml:space="preserve"> asigură serviciul public de distribuţie a energiei electrice doar consumatorilor de energie electrică vulnerabili</t>
  </si>
  <si>
    <t>Codul tehnic al reţelelor electrice de distribuţie (Codul RED) este administrat de:</t>
  </si>
  <si>
    <t>SC ELECTRICA SA, în calitate de elaborator</t>
  </si>
  <si>
    <t>CN TRANSELECTRICA SA</t>
  </si>
  <si>
    <t xml:space="preserve">Începând cu data de 1.01.2022, în PD, la JT, în condiții normale de exploatare, excluzând întreruperile, pe durata oricărui interval de timp de o săptămână, 95% din valorile efective, mediate pe o durată de 10 minute, ale tensiunii de alimentare, nu trebuie să aibă o abatere față de tensiunea nominală mai mare de </t>
  </si>
  <si>
    <t>+5% / -10%</t>
  </si>
  <si>
    <t xml:space="preserve">OD asigură sosirea echipei de intervenție în minimum de timp din momentul în care a luat cunoștință de întreruperea căii de alimentare/evacuare a energiei electrice la un loc de consum și/sau de producere, astfel încât restabilirea acesteia, după o întrerupere neplanificată, să se realizeze, </t>
  </si>
  <si>
    <t>pentru mediul rural, în condiţii normale de vreme, în maximum18 ore</t>
  </si>
  <si>
    <t>pentru mediul rural, în condiţii normale de vreme, în maximum 12 ore</t>
  </si>
  <si>
    <t xml:space="preserve">pentru mediul rural, în condiţii normale de vreme, în maximum 24 ore </t>
  </si>
  <si>
    <t xml:space="preserve">Printre activităţile desfăşurate de operatorul de distribuţie, precizate în Codul tehnic al reţelelor electrice de distribuţie (Codul RED), se numără şi: </t>
  </si>
  <si>
    <t xml:space="preserve">Gestionarea, exploatarea, mentenanţa, modernizarea şi dezvoltarea instalaţiilor electrice de iluminat public </t>
  </si>
  <si>
    <t>Asigurarea tranzitării energiei electrice prin reţelele sale, la cererea şi cu informarea OTS, în anumite cazuri</t>
  </si>
  <si>
    <t>Dispecerizarea energiei electrice la nivel naţional</t>
  </si>
  <si>
    <t>Printre obiectivele Codului tehnic al reţelelor electrice de distribuţie (Codul RED) se regăsesc:</t>
  </si>
  <si>
    <t xml:space="preserve">Stabilirea unui set de reguli şi norme în vederea asigurării accesului utilizatorilor la reţelele electrice de distribuţie </t>
  </si>
  <si>
    <t xml:space="preserve">Stabilirea responsabilităţilor şi obligaţiilor operatorilor de distribuţie în vederea extinderii rețelei de iluminat public pe infrastructura rețelei de distribuție </t>
  </si>
  <si>
    <t>Stabilirea unui set de reguli şi norme în vederea asigurării accesului utilizatorilor la reţelele electrice de transport</t>
  </si>
  <si>
    <t>Prevederile standardului de performanţă pentru serviciul de distribuţie nu se aplică în situaţii de:</t>
  </si>
  <si>
    <t>Întrerupere accidentală a energiei electrice</t>
  </si>
  <si>
    <t>Forţă majoră</t>
  </si>
  <si>
    <t>Evenimente accidentale determinate de angajaţii operatorului de distribuţie</t>
  </si>
  <si>
    <t xml:space="preserve">Prevederile standardului de performanţă pentru serviciul de distribuţie nu se aplică în situaţii de:
 </t>
  </si>
  <si>
    <t xml:space="preserve">condiţii meteorologice deosebite </t>
  </si>
  <si>
    <t xml:space="preserve">Pe lângă alte condiţii pe care trebuie să le îndeplinească utilizatorii, pentru a beneficia de prevederile standardului de performanţă pentru serviciul de distribuţie, trebuie ca:   </t>
  </si>
  <si>
    <t>să aibă încheiate contracte de distribuție cu operatorul de distribuție</t>
  </si>
  <si>
    <t>prin regimul lor de funcţionare să nu introducă perturbaţii inacceptabile, conform normativelor în vigoare, care să afecteze  funcţionarea RED sau alimentarea  altor utilizatori  RED din zonă</t>
  </si>
  <si>
    <t>să aibă contracte de furnizarea a energiei electrice încheiate cu operatorul de distribuţie</t>
  </si>
  <si>
    <t>să respecte condiţiile prevăzute în contractul de distribuţie/furnizare</t>
  </si>
  <si>
    <t>să aibă contracte de furnizare a energiei electrice încheiate cu operatorul de distribuţie</t>
  </si>
  <si>
    <t xml:space="preserve">să aibă instalaţii electrice care funcţionează la tensiunea nominală alternativă în gama 20 kV - 400 kV şi la frecvenţa de 50 Hz </t>
  </si>
  <si>
    <t>Standardul de performanţă pentru serviciul de distribuţie a energiei electrice stabileşte indicatorii de performanţă privind:</t>
  </si>
  <si>
    <t xml:space="preserve">efectuarea reviziilor instalațiilor de distribuție </t>
  </si>
  <si>
    <t xml:space="preserve">
 calitatea tehnică a energiei electrice distribuite</t>
  </si>
  <si>
    <t>Debranşarea consumatorilor rău-platnici de la reţelele electrice de distribuţie</t>
  </si>
  <si>
    <t>calitatea comercială a serviciului de   distribuţie a energiei electrice</t>
  </si>
  <si>
    <t>Furnizarea energiei electrice</t>
  </si>
  <si>
    <t>continuitatea alimentării cu energie electrică a utilizatorilor</t>
  </si>
  <si>
    <t xml:space="preserve">După depunerea documentaţiei complete de către utilizator,  operatorul de reţea are obligaţia să transmită solicitantului avizul tehnic de racordare în maximum: </t>
  </si>
  <si>
    <t xml:space="preserve"> 10 zile calendaristice în situația în care soluția se stabileste prin studiu de soluție </t>
  </si>
  <si>
    <t>30 zile calendaristice în situaţia în care soluţia de racordare se stabileşte prin fişă de soluţie,</t>
  </si>
  <si>
    <t xml:space="preserve"> 20 zile calendaristice în situația în care soluția se stabileste prin studiu de soluție </t>
  </si>
  <si>
    <t>Verificarea dimensionării, în proiectare, a reţelelor electrice de distribuţie, conform prevederilor Codului tehnic al reţelelor electrice de distribuţie (Codul RED), se face ţinând seama de:</t>
  </si>
  <si>
    <t xml:space="preserve"> criteriul pierderilor minime de energie</t>
  </si>
  <si>
    <t xml:space="preserve"> criteriul economic si criteriul stabilităţii termice în regim de durata</t>
  </si>
  <si>
    <t xml:space="preserve"> criteriul stabilităţii termice si dinamice în regim de scurtcircuit, în cazuri particulare</t>
  </si>
  <si>
    <t>CN de Transport al Energiei Electrice Transelectrica SA este societatea comercială de interes naţional care desfăşoară următoarele activităţi specifice precizate în Codul tehnic al reţelei electrice de transport (Codul RET):</t>
  </si>
  <si>
    <t>măsurarea energiei electrice pe piaţa en-detail (cu excepţia punctelor de măsurare care se încadrează in categoria A)</t>
  </si>
  <si>
    <t>măsurarea energiei electrice pe piaţa cu amănuntul, în calitate de operator de măsurare</t>
  </si>
  <si>
    <t>serviciul de transport al energiei electrice şi serviciul de sistem, în calitate de operator de transport şi de sistem (TSO)</t>
  </si>
  <si>
    <t>Persoana juridică care are calitatea de administrator al Codului tehnic al reţelei electrice de transport (Codul RET), este:</t>
  </si>
  <si>
    <t xml:space="preserve">CN de Transport al Energiei Electrice Transelectrica SA </t>
  </si>
  <si>
    <t>Autoritatea Naţională de Reglementare în domeniul Energiei</t>
  </si>
  <si>
    <t>Cererile de racordare pentru locuri de producere cu puteri instalate de până la 50 MW inclusiv şi cele pentru locuri de consum cu puteri maxim simultan absorbite de până la 50 MW inclusiv, se adresează de către solicitanţi:</t>
  </si>
  <si>
    <t xml:space="preserve">unui furnizor </t>
  </si>
  <si>
    <t>operatorului de transport şi de sistem</t>
  </si>
  <si>
    <t>unui operator de distribuţie care deţine în apropierea locului de producere sau de consum o reţea electrică de distribuţie</t>
  </si>
  <si>
    <t>Avizul tehnic de racordare se emite de către:</t>
  </si>
  <si>
    <t xml:space="preserve">operatorul de reţea la care a fost depusă cererea de racordare, chiar dacă opţiunea scrisă a utilizatorului este pentru o variantă de soluţie de racordare la reţeaua electrică deţinută de un alt operator de reţea </t>
  </si>
  <si>
    <t>operatorul de reţea la reţeaua căruia se racordează instalaţiile utilizatorului, conform soluţiei de racordare stabilite prin fişa sau studiul de solutie</t>
  </si>
  <si>
    <t>operatorul de reţea care a elaborat fişa sau studiul de solutie, chiar dacă opţiunea scrisă a utilizatorului este pentru o variantă de soluţie de racordare la reţeaua electrică deţinută de un alt operator de reţea</t>
  </si>
  <si>
    <t xml:space="preserve">În calitate de persoană fizică autorizată, electricianul autorizat gradul I poate executa instalaţii electrice interioare </t>
  </si>
  <si>
    <t>având o putere electrică instalată de maximum 10 kW şi la o tensiune nominală mai mică de 1 kV, numai dacă deţine un atestat emis de ANRE</t>
  </si>
  <si>
    <t>având o putere electrică instalată de maximum 20 kW şi la o tensiune nominală mai mică de 1 kV, numai dacîă deţine un atestat emis de ANRE</t>
  </si>
  <si>
    <t>având o putere electrică instalată de maximum 10 kW şi la o tensiune nominală mai mică de 1 kV, fără a deţine un atestat emis de ANRE</t>
  </si>
  <si>
    <t>Serviciile de sistem tehnologice sunt realizate folosindu-se ca resurse:</t>
  </si>
  <si>
    <t>numai sistemele de reglaj primar al frecvenţei</t>
  </si>
  <si>
    <t>rezervele de putere</t>
  </si>
  <si>
    <t>consumatorii nedispecerizabili, care pot fi deconectaţi la dispoziţia CN TRANSELECTRICA SA</t>
  </si>
  <si>
    <t>Serviciul de sistem aflat în responsabilitatea operatorului de transport şi de sistem (CN TRANSELECTRICA SA) are scopul de a asigura:</t>
  </si>
  <si>
    <t>funcţionarea în siguranţă a SEN</t>
  </si>
  <si>
    <t>administrarea pieţei de energie electrică, prin OPCOM</t>
  </si>
  <si>
    <t xml:space="preserve">administrarea pieţei de echilibrare </t>
  </si>
  <si>
    <t xml:space="preserve"> La încetarea perioadei de valabilitate a contractului de furnizare a energiei electrice, clientul final de energie electrică are dreptul să primească de la furnizor decontul final de regularizare</t>
  </si>
  <si>
    <t xml:space="preserve">În termen de maximum 42 de zile de la încetarea contractului de furnizare a energiei electrice </t>
  </si>
  <si>
    <t xml:space="preserve">la  încetarea contractului de furnizare a energiei electrice </t>
  </si>
  <si>
    <t xml:space="preserve">În termen de maximum 10 de zile de la încetarea contractului de furnizare a energiei electrice </t>
  </si>
  <si>
    <t xml:space="preserve">Contractul de distribuție se poate încheia între operatorul de distribuție și </t>
  </si>
  <si>
    <t xml:space="preserve"> furnizorul clientului final, întotdeauna</t>
  </si>
  <si>
    <t>clientul final, în anumite situaţii</t>
  </si>
  <si>
    <t>furnizor şi clientul final</t>
  </si>
  <si>
    <t>Convenţia de exploatare este un act juridic prin care sunt precizate aspecte legate de:</t>
  </si>
  <si>
    <t>manevrele ce se executa si eventualele despăgubiri ce se pot acorda in cazul unui incident</t>
  </si>
  <si>
    <t>condiţiile de exploatare şi întreţinere reciprocă a instalaţiilor</t>
  </si>
  <si>
    <t>realizarea conducerii operaţionale prin dispecer, în exclusivitate</t>
  </si>
  <si>
    <t>Convenţia de exploatare, anexă la contractul de furnizare a energiei electrice, este un act juridic încheiat intre:</t>
  </si>
  <si>
    <t>consumator si producător</t>
  </si>
  <si>
    <t>operator de reţea si consumator</t>
  </si>
  <si>
    <t>furnizor si producător</t>
  </si>
  <si>
    <t>Furnizarea energiei electrice se desfăşoară</t>
  </si>
  <si>
    <t xml:space="preserve"> numai în baza unei licenţe pentru activitatea de furnizare a energiei electrice</t>
  </si>
  <si>
    <t xml:space="preserve">fără licență, de către operatori de distribuție neconcesionari către clienţii alimentaţi direct din reţelele electrice pe care aceştia le exploatează </t>
  </si>
  <si>
    <t>fără licență, de către producători, oricărui client final</t>
  </si>
  <si>
    <t xml:space="preserve">În cazul furnizării energiei electrice în baza unui contract încheiat pe piaţa concurenţială, pentru neachitarea de către client în termenul scadent prevăzut în contractul de furnizare a energiei electrice a facturii, furnizorul poate întrerupe furnizarea:           </t>
  </si>
  <si>
    <t>cu un preaviz de 15 zile în cazul clienţilor casnici</t>
  </si>
  <si>
    <t>cu un preaviz de 5 zile în cazul clienţilor casnici</t>
  </si>
  <si>
    <t>fără preaviz</t>
  </si>
  <si>
    <t>Furnizarea energiei electrice către clientul final se realizează:</t>
  </si>
  <si>
    <t>în temeiul unui contract de furnizare</t>
  </si>
  <si>
    <t>fără încheierea contractului de furnizare, pe bază de negocieri</t>
  </si>
  <si>
    <t xml:space="preserve">pe baza contractului încheiat de clientul final ccu operatorul de rețea </t>
  </si>
  <si>
    <t xml:space="preserve">Categoria clienţilor noncasnici  include şi </t>
  </si>
  <si>
    <t xml:space="preserve"> producătorii de energie                                  electrică </t>
  </si>
  <si>
    <t xml:space="preserve">căminele pentru persoane vârstnice dacă nu sunt în administrarea statului </t>
  </si>
  <si>
    <t xml:space="preserve">căminele  studenţeşti cu o putere aprobată mai mare de  50 kW </t>
  </si>
  <si>
    <t>Nerespectarea de către clientul final a contractului de furnizare încheiat pe piaţa concurenţială poate avea drept  consecinţă:</t>
  </si>
  <si>
    <t>întreruperea furnizării energiei electrice</t>
  </si>
  <si>
    <t xml:space="preserve">sancționarea contravențională a clientului final </t>
  </si>
  <si>
    <t>sancţiune prin amendă contravenţională</t>
  </si>
  <si>
    <t xml:space="preserve">Avizul tehnic de racordare constituie: </t>
  </si>
  <si>
    <t xml:space="preserve">angajamentul operatorului de reţea de a realiza instalaţia de racordare a utilizatorului;  </t>
  </si>
  <si>
    <t xml:space="preserve">oferta operatorului de reţea la cererea de racordare a solicitantului;
</t>
  </si>
  <si>
    <t>aprobarea de către operatorul de reţea a utilizării rețelei electrice de transport sau de distribuție</t>
  </si>
  <si>
    <t>Avizul tehnic de racordare este un aviz scris valabil:</t>
  </si>
  <si>
    <t>numai pentru un anumit amplasament al locului de producere/consum</t>
  </si>
  <si>
    <t>inclusiv în cazul schimbării titularului locului de producere/consum pentru care   s-a solicitat racordarea</t>
  </si>
  <si>
    <t>pe o perioadă de timp nelimitată</t>
  </si>
  <si>
    <t xml:space="preserve">Cererea pentru racordare la reţea  trebuie să fie în mod obligatoriu semnată de: </t>
  </si>
  <si>
    <t xml:space="preserve">utilizator sau de împuternicitul legal al utilizatorului.
</t>
  </si>
  <si>
    <t xml:space="preserve">furnizor </t>
  </si>
  <si>
    <r>
      <rPr>
        <sz val="11"/>
        <rFont val="Times New Roman"/>
        <family val="1"/>
      </rPr>
      <t>operatorul de reţea</t>
    </r>
    <r>
      <rPr>
        <sz val="11"/>
        <rFont val="Times New Roman"/>
        <family val="1"/>
        <charset val="238"/>
      </rPr>
      <t xml:space="preserve">
</t>
    </r>
  </si>
  <si>
    <t xml:space="preserve">Cererile pentru racordare la reţea şi documentaţiile anexate acestora: 
</t>
  </si>
  <si>
    <t xml:space="preserve">se pot depune direct la centrele teritoriale de relaţii cu clienţii organizate de operatorul de reţea;
</t>
  </si>
  <si>
    <t xml:space="preserve">nu se pot trimite prin poştă; 
</t>
  </si>
  <si>
    <t xml:space="preserve">se depun numai la registratura operatorului de reţea. </t>
  </si>
  <si>
    <t>Dacă se solicită avizul tehnic de racordare pentru o organizare de de şantier, documentaţia anexată cererii va cuprinde în mod obligatoriu şi:</t>
  </si>
  <si>
    <t>certificatul de urbanism al obiectivului pentru care se organizează şantierul, în termen de valabilitate, in copie;</t>
  </si>
  <si>
    <t xml:space="preserve">autorizaţia de construire a obiectivului pentru care se organizează şantierul, în termen de valabilitate, in copie;
</t>
  </si>
  <si>
    <t xml:space="preserve">certificatul de urbanism </t>
  </si>
  <si>
    <t xml:space="preserve">În cazul utilizatorilor clienţi finali casnici şi al prosumatorilor, precum şi în cazul persoanelor fizice autorizate, întreprinderilor individuale, întreprinderilor familiale şi instituţiilor publice ale căror locuri de consum sunt racordate la reţelele electrice de joasă tensiune, costurile pentru achiziţia şi montarea grupului de măsurare a energiei electrice sau, după caz, a blocului de măsură şi protecţie, complet echipat,  </t>
  </si>
  <si>
    <t xml:space="preserve"> sunt suportate de către operatorul de reţea</t>
  </si>
  <si>
    <t xml:space="preserve"> sunt suportate de către operatorul de reţea, numai pentru consumatorii casnici</t>
  </si>
  <si>
    <t xml:space="preserve"> sunt suportate de către utilizatori </t>
  </si>
  <si>
    <t>Lucrările de întărire pentru crearea condiţiilor tehnice necesare racordării mai multor locuri de consum şi/sau de producere se proiectează şi  se execută .</t>
  </si>
  <si>
    <t xml:space="preserve"> numai de către operatorul de reţea, cu personal propriu</t>
  </si>
  <si>
    <t xml:space="preserve"> de către utilizator</t>
  </si>
  <si>
    <t>pe bază de contract  încheiat de către operatorul de reţea  cu un operator economic atestat de autoritatea competentă, respectând procedurile de atribuire a contractului de achiziţie publică.</t>
  </si>
  <si>
    <t xml:space="preserve">Ulterior emiterii avizului tehnic de racordare, o soluţie de racordare este valabilă:    
</t>
  </si>
  <si>
    <t xml:space="preserve">dacă este înscrisă în avizul tehnic de racordare    
</t>
  </si>
  <si>
    <t xml:space="preserve">dacă a fost una (oricare) dintre soluţiile prevăzute şi avizate din studiul de soluţie </t>
  </si>
  <si>
    <t>dacă prevede o instalaţie de racordare cu costuri minime pentru utilizator.</t>
  </si>
  <si>
    <t xml:space="preserve">Parcurgerea unei etape preliminare de documentare şi informare a viitorului utilizator pentru racordarea acestuia la reţeaua electrică:
</t>
  </si>
  <si>
    <t>este obligatorie pentru utilizator;</t>
  </si>
  <si>
    <t>la solicitarea utilizatorului, este obligatorie pentru operatorul de reţea;</t>
  </si>
  <si>
    <t>nu este prevăzută de legislaţia în vigoare.</t>
  </si>
  <si>
    <t>Pentru un loc de producere sau de consum nou, documentaţia anexată cererii de racordare va cuprinde obligatoriu:</t>
  </si>
  <si>
    <t xml:space="preserve">autorizația de construire </t>
  </si>
  <si>
    <t xml:space="preserve">autorizaţia de construire a obiectivului, în copie;
</t>
  </si>
  <si>
    <t>actul de proprietate sau orice alt înscris care atestă dreptul de folosinţă asupra terenului, incintei ori clădirii în care se constituie locul de producere sau de consum pentru care se solicită racordarea, în copie.</t>
  </si>
  <si>
    <t xml:space="preserve">Planul anexat cererii de racordare, cu amplasarea în zonă a locului de consum şi/sau de producere, pentru construcţiile noi sau pentru construcţiile existente care se modifică trebuie să fie </t>
  </si>
  <si>
    <t>un plan de situaţie la scară, întocmit conform prevederilor legale în vigoare</t>
  </si>
  <si>
    <t>avizat de ANRE</t>
  </si>
  <si>
    <t>avizat de către operatorul de reţea, anterior depunerii cererii</t>
  </si>
  <si>
    <t xml:space="preserve">Loc de consum temporar  este un  loc de consum în care se utilizează energie electrică </t>
  </si>
  <si>
    <t xml:space="preserve">numai pentru pentru organizarea sau desfăşurarea unor activitati ocazionale 
</t>
  </si>
  <si>
    <t xml:space="preserve">pentru o perioadă de timp, aprobată de autorităţile competente, în scopul construirii, reparării sau amenajării unor obiective
</t>
  </si>
  <si>
    <t xml:space="preserve">în mod repetat, pentru o anumită perioadă de timp, la acelaşi loc de consum.
</t>
  </si>
  <si>
    <t xml:space="preserve">Utilizatorii reţelelor electrice au obligaţia solicitării avizului tehnic de racordare: 
</t>
  </si>
  <si>
    <t xml:space="preserve"> înainte de a începe executarea instalaţiei de utilizare care urmează să fie racordată la reţeaua electrică;
</t>
  </si>
  <si>
    <t xml:space="preserve">pe parcursul executării instalaţiei de utilizare care urmează să fie racordată la reţeaua electrică;
</t>
  </si>
  <si>
    <t xml:space="preserve">la terminarea instalaţiei de utilizare, înainte de punerea ei sub tensiune. 
</t>
  </si>
  <si>
    <t>Fişa de soluţie este elaborată de:</t>
  </si>
  <si>
    <t>utilizatori</t>
  </si>
  <si>
    <t>operatorul de reţea</t>
  </si>
  <si>
    <t>orice proiectant de specialitate (societate comercială atestată pentru activităţi de proiectare)</t>
  </si>
  <si>
    <t>locurile de consum individuale ale utilizatorilor de tip clienţi casnici, indiferent de puterea solicitată</t>
  </si>
  <si>
    <t>locurile de consum şi/sau de producere care se racordează la reţele electrice având tensiunea nominală de 110 kV sau mai mare;</t>
  </si>
  <si>
    <r>
      <t xml:space="preserve">utilizatori perturbatori </t>
    </r>
    <r>
      <rPr>
        <i/>
        <sz val="11"/>
        <color rgb="FF0070C0"/>
        <rFont val="Times New Roman"/>
        <family val="1"/>
      </rPr>
      <t/>
    </r>
  </si>
  <si>
    <t xml:space="preserve">locurile de consum individuale ale utilizatorilor de tip clienţi casnici, dacă se solicită o putere mai mare de 11 kVA </t>
  </si>
  <si>
    <t>utilizatorii cu o putere de peste 25 kVA</t>
  </si>
  <si>
    <t>Lucrările de realizare a instalaţiei de racordare se execută:</t>
  </si>
  <si>
    <t xml:space="preserve">de către orice constructor </t>
  </si>
  <si>
    <t>numai după încheierea  contractului de execuţie de către un operator economic atestat cu operatorul de reţea sau cu utilizatorul, după caz</t>
  </si>
  <si>
    <t>inainte de  încheierea  contractului de execuţie</t>
  </si>
  <si>
    <t xml:space="preserve">Prevederile contractuale întemeiate pe dispoziţii ale actelor normative se modifică  </t>
  </si>
  <si>
    <t xml:space="preserve">la data intrării în vigoare a modificării actelor normative respective fără îndeplinirea altor formalităţi </t>
  </si>
  <si>
    <t>prin incheierea unui act adiţional</t>
  </si>
  <si>
    <t>prin incheierea unui nou contract</t>
  </si>
  <si>
    <t>Clienţii casnici de energie electrică:</t>
  </si>
  <si>
    <t>pot impune furnizorului orice modalitate de plată, chiar dacă nu este pusă la dispoziţie de către acesta</t>
  </si>
  <si>
    <t>pot să opteze pentru orice modalitate de plată pe care furnizorul o pune la dispoziţie</t>
  </si>
  <si>
    <t xml:space="preserve">sunt obligaţi să achite facturile pentru energia electrică la una din casieriile furnizorului </t>
  </si>
  <si>
    <t xml:space="preserve">În cazul unui refuz de constituire a garanţiilor conform Regulamentului de furnizare a energiei electrice la clienţii finali  şi a procedurilor specifice  </t>
  </si>
  <si>
    <t>furnizorul are dreptul să solicite operatorului de distribuţie deconectarea clientului final de la reţea</t>
  </si>
  <si>
    <t>operatorul de reţea are dreptul să întrerupă alimentarea cu energie electrică a locului de consum numai dacă are încheiat contract de rețea cu clientul final</t>
  </si>
  <si>
    <t>se reziliază contractul de furnizare a energiei electrice</t>
  </si>
  <si>
    <t>Furnizorul are obligaţia să deţină o pagină de internet proprie care să pună la dispoziţia clientului un formular online pentru înregistrarea plângerilor şi care să conţină și infomații privind  modalităţile de soluţionare</t>
  </si>
  <si>
    <t xml:space="preserve"> numai a neînţelegerilor precontractuale </t>
  </si>
  <si>
    <t xml:space="preserve"> numai a neînţelegerilor  apărute pe parcursul derulării contractului;</t>
  </si>
  <si>
    <t>a neînţelegerilor precontractuale şi a celor apărute pe parcursul derulării contractului;</t>
  </si>
  <si>
    <t>Furnizorul are dreptul să recalculeze consumul de energie electrică pentru o perioadă anterioară</t>
  </si>
  <si>
    <t>în cazul unei facturări eronate a consumului</t>
  </si>
  <si>
    <t>numai în cazul clienților noncasnici mari</t>
  </si>
  <si>
    <t>numai atunci când se constată înregistrarea eronată a consumului de energie electrică</t>
  </si>
  <si>
    <t xml:space="preserve">Deconectarea de la reţeaua electrică a locurilor de consum unde locuiesc consumatori vulnerabili </t>
  </si>
  <si>
    <t>este permisă în orice situație, dar pentru perioade mici de timp</t>
  </si>
  <si>
    <t xml:space="preserve"> este permisă în situaţii de criză de energie electrică</t>
  </si>
  <si>
    <t>este interzisă în situaţii de criză de energie</t>
  </si>
  <si>
    <t xml:space="preserve">Clientul vulnerabil </t>
  </si>
  <si>
    <t xml:space="preserve">nu are dreptul să beneficieze de eşalonarea la plată a facturii </t>
  </si>
  <si>
    <t>are dreptul să beneficieze de eşalonarea la plată a facturii, la cerere, pe o perioadă de minimum 3 luni</t>
  </si>
  <si>
    <t>are dreptul să beneficieze de eşalonarea la plată a facturii, la cerere, pe o perioadă de maximum 3 luni</t>
  </si>
  <si>
    <t xml:space="preserve">Certificatul de racordare emis de către operatorul de reţea </t>
  </si>
  <si>
    <t>conţine condiţiile tehnico-economice de racordare la reţea a unui loc de consum şi/ sau de producere</t>
  </si>
  <si>
    <t xml:space="preserve">se emite contra cost, la cerea utilizatorului </t>
  </si>
  <si>
    <t>stabileşte condiţii tehnice de utilizare a reţelei după punerea sub tensiune a instalaţiei de utilizare.</t>
  </si>
  <si>
    <t xml:space="preserve">Perioada de valabilitate a certificatului de racordare este egală 
</t>
  </si>
  <si>
    <t>cu 12 luni de la emitere</t>
  </si>
  <si>
    <t>cu durata de existenţă a instalaţiilor de utilizare de la locul de consum şi/ sau de producere.</t>
  </si>
  <si>
    <t>cu durata până la incheierea contractului de racordare</t>
  </si>
  <si>
    <t xml:space="preserve"> Emiterea certificatului de racordare de către operatorul de reţea se face </t>
  </si>
  <si>
    <t>gratuit</t>
  </si>
  <si>
    <t>pe bază de tarife reglementate</t>
  </si>
  <si>
    <t xml:space="preserve">la cererea scrisă a utilizatorului. </t>
  </si>
  <si>
    <t xml:space="preserve">Numărul şi localizarea punctelor de delimitare între instalaţia de racordare şi instalaţia de utilizare se stabilesc </t>
  </si>
  <si>
    <t xml:space="preserve"> de catre utilizator</t>
  </si>
  <si>
    <t>de comun acord de catre operatorul de reţea şi utilizator, cu respectarea prevederilor legale în vigoare</t>
  </si>
  <si>
    <t>de catre operatorul de reţea</t>
  </si>
  <si>
    <t xml:space="preserve">Punctul de delimitare în cazul locuinţelor individuale se stabileşte </t>
  </si>
  <si>
    <t>întotdeauna la limita de proprietate</t>
  </si>
  <si>
    <t>întotdeauna pe proprietatea utilizatorului, în exteriorul locuinţei</t>
  </si>
  <si>
    <t>întotdeauna la bornele de ieşire din grupul de măsurare</t>
  </si>
  <si>
    <t xml:space="preserve">Dacă sunt necesare lucrări de întărire a reţelei electrice în amonte de punctul de racordare pentru crearea condiţiilor tehnice necesare racordării,  operatorul de reţea solicită,  prin avizul tehnic de racordare, constituirea unei garanţii financiare în favoarea sa, de către  utilizatorul </t>
  </si>
  <si>
    <t xml:space="preserve"> oricărui loc de producere</t>
  </si>
  <si>
    <t xml:space="preserve"> oricărui loc de consum </t>
  </si>
  <si>
    <t xml:space="preserve">unui loc de consum şi/sau de producere nou sau care se dezvoltă, cu o putere aprobată totală pentru consum/evacuare mai mare de 1 MW </t>
  </si>
  <si>
    <t>Centrala  electrica de cogenerare (termoficare) este ansamblul de instalaţii, construcţii si echipamente necesare pentru producerea:</t>
  </si>
  <si>
    <t>doar a energiei electrice</t>
  </si>
  <si>
    <t>doar a energiei termice</t>
  </si>
  <si>
    <t>combinată a energiei electrice si termice</t>
  </si>
  <si>
    <t>Sistemul electroenergetic este definit ca fiind:</t>
  </si>
  <si>
    <t>Totalitatea liniilor si staţiilor electrice interconectate, indiferent de nivelul de tensiune</t>
  </si>
  <si>
    <t>Ansamblul instalaţiilor electroenergetice interconectate prin care se realizează numai transportul şi distribuţia energiei electrice</t>
  </si>
  <si>
    <t xml:space="preserve">ansamblul instalaţiilor electroenergetice interconectate prin care se realizează producerea, transportul, conducerea operativă, distribuţia, furnizarea şi utilizarea energiei electrice </t>
  </si>
  <si>
    <t>constatare a unui consum fraudulos de energie</t>
  </si>
  <si>
    <t>neplata facturilor</t>
  </si>
  <si>
    <t>Neplata abonamentului radio-tv</t>
  </si>
  <si>
    <t>sustragerea de energie electrică constatată prin hotărâre judecătorească definitivă, neplata facturilor sau alte situaţii prevăzute de legislaţia în vigoare.</t>
  </si>
  <si>
    <t>Plata cu întârziere a facturilor</t>
  </si>
  <si>
    <t>Consum de energie mai mare decât cel aferent puterii aprobate prin avizul tehnic de racordare</t>
  </si>
  <si>
    <t>Furnizorul este obligat să analizeze plângerea clientului referitoare la factura emisă, comunicată furnizorului în termen de 30 de zile de la data emiterii facturii,</t>
  </si>
  <si>
    <t>numai dacă factura a fost achitată</t>
  </si>
  <si>
    <t xml:space="preserve"> numai dacă factura nu a fost achitată </t>
  </si>
  <si>
    <t xml:space="preserve"> indiferent dacă factura a fost sau nu achitată, </t>
  </si>
  <si>
    <t>Eventualele contestaţii ale avizelor tehnice de racordare se rezolvă de către:</t>
  </si>
  <si>
    <t xml:space="preserve"> organele ierarhice ale emitentului</t>
  </si>
  <si>
    <t xml:space="preserve"> operatorul de distribuţie care a emis avizul</t>
  </si>
  <si>
    <t>Nr.</t>
  </si>
  <si>
    <t xml:space="preserve">             LEGISLAȚIE MAI 2023      </t>
  </si>
  <si>
    <t xml:space="preserve"> </t>
  </si>
  <si>
    <r>
      <rPr>
        <b/>
        <sz val="16"/>
        <color rgb="FF0070C0"/>
        <rFont val="Times New Roman"/>
        <family val="1"/>
      </rPr>
      <t xml:space="preserve"> GRADELE III ȘI IV </t>
    </r>
    <r>
      <rPr>
        <sz val="16"/>
        <color theme="1"/>
        <rFont val="Times New Roman"/>
        <family val="1"/>
      </rPr>
      <t xml:space="preserve"> </t>
    </r>
  </si>
  <si>
    <t xml:space="preserve">MAI  2023                             Enunt  </t>
  </si>
  <si>
    <t>EXEMPLE DE ÎNTREBĂRI IANUARIE 2024</t>
  </si>
  <si>
    <t>NORME TEHNICE Gr. IIIA şi IVA</t>
  </si>
  <si>
    <t xml:space="preserve">IANUARIE 2024                            Enunt  </t>
  </si>
  <si>
    <t>NORME TEHNICE Gr. IIIB şi IVB</t>
  </si>
  <si>
    <t xml:space="preserve">IANUARIE 2024                             Enunt  </t>
  </si>
  <si>
    <t>Total</t>
  </si>
  <si>
    <t>Parcurs</t>
  </si>
  <si>
    <t>Ramas</t>
  </si>
  <si>
    <t>c</t>
  </si>
  <si>
    <t>a</t>
  </si>
  <si>
    <t>b</t>
  </si>
  <si>
    <t>…......</t>
  </si>
  <si>
    <t>var a</t>
  </si>
  <si>
    <t>var b</t>
  </si>
  <si>
    <t>var c</t>
  </si>
  <si>
    <t>Raspuns</t>
  </si>
  <si>
    <t>verif</t>
  </si>
  <si>
    <t>legea lui Ohm, legile lui Kirchhoff, circuit RLC, conexiuni stea, triunghi transformator, motor, masina sincrona asincrona</t>
  </si>
  <si>
    <t>RESPUNS INITIAL</t>
  </si>
  <si>
    <t>RASPUNS NOU</t>
  </si>
  <si>
    <t xml:space="preserve">  </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</si>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</sst>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sz val="11"/>
      <color theme="1"/>
      <name val="Times New Roman"/>
      <family val="1"/>
    </font>
    <font>
      <sz val="11"/>
      <name val="Times New Roman"/>
      <family val="1"/>
      <charset val="238"/>
    </font>
    <font>
      <sz val="11"/>
      <name val="Calibri"/>
      <family val="2"/>
      <scheme val="minor"/>
    </font>
    <font>
      <sz val="11"/>
      <name val="Calibri"/>
      <family val="2"/>
    </font>
    <font>
      <sz val="11"/>
      <name val="Times New Roman"/>
      <family val="1"/>
    </font>
    <font>
      <vertAlign val="subscript"/>
      <sz val="11"/>
      <name val="Times New Roman"/>
      <family val="1"/>
    </font>
    <font>
      <u/>
      <sz val="11"/>
      <name val="Times New Roman"/>
      <family val="1"/>
    </font>
    <font>
      <vertAlign val="subscript"/>
      <sz val="11"/>
      <name val="Times New Roman"/>
      <family val="1"/>
      <charset val="238"/>
    </font>
    <font>
      <sz val="10"/>
      <name val="Arial"/>
      <family val="2"/>
    </font>
    <font>
      <b/>
      <sz val="16"/>
      <color theme="1"/>
      <name val="Times New Roman"/>
      <family val="1"/>
    </font>
    <font>
      <b/>
      <sz val="16"/>
      <color rgb="FF0070C0"/>
      <name val="Times New Roman"/>
      <family val="1"/>
    </font>
    <font>
      <b/>
      <sz val="14"/>
      <color indexed="10"/>
      <name val="Times New Roman"/>
      <family val="1"/>
      <charset val="238"/>
    </font>
    <font>
      <strike/>
      <sz val="11"/>
      <name val="Times New Roman"/>
      <family val="1"/>
      <charset val="238"/>
    </font>
    <font>
      <strike/>
      <sz val="11"/>
      <name val="Times New Roman"/>
      <family val="1"/>
    </font>
    <font>
      <vertAlign val="superscript"/>
      <sz val="11"/>
      <name val="Times New Roman"/>
      <family val="1"/>
    </font>
    <font>
      <shadow/>
      <sz val="11"/>
      <name val="Times New Roman"/>
      <family val="1"/>
      <charset val="238"/>
    </font>
    <font>
      <sz val="11"/>
      <name val="Calibri"/>
      <family val="2"/>
      <charset val="238"/>
      <scheme val="minor"/>
    </font>
    <font>
      <i/>
      <sz val="11"/>
      <color rgb="FF0070C0"/>
      <name val="Times New Roman"/>
      <family val="1"/>
    </font>
    <font>
      <sz val="12"/>
      <name val="Times New Roman"/>
      <family val="1"/>
      <charset val="238"/>
    </font>
    <font>
      <sz val="16"/>
      <color theme="1"/>
      <name val="Times New Roman"/>
      <family val="1"/>
    </font>
    <font>
      <b/>
      <sz val="14"/>
      <color indexed="10"/>
      <name val="Times New Roman"/>
      <family val="1"/>
    </font>
    <font>
      <sz val="11"/>
      <color theme="1"/>
      <name val="Times New Roman"/>
      <family val="1"/>
      <charset val="238"/>
    </font>
    <font>
      <sz val="11"/>
      <color rgb="FFFF0000"/>
      <name val="Times New Roman"/>
      <family val="1"/>
      <charset val="238"/>
    </font>
  </fonts>
  <fills count="5">
    <fill>
      <patternFill patternType="none"/>
    </fill>
    <fill>
      <patternFill patternType="gray125"/>
    </fill>
    <fill>
      <patternFill patternType="solid">
        <fgColor theme="6" tint="0.39997558519241921"/>
        <bgColor indexed="64"/>
      </patternFill>
    </fill>
    <fill>
      <patternFill patternType="solid">
        <fgColor theme="8" tint="0.59999389629810485"/>
        <bgColor indexed="64"/>
      </patternFill>
    </fill>
    <fill>
      <patternFill patternType="solid">
        <fgColor rgb="FFFFFF00"/>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s>
  <cellStyleXfs count="2">
    <xf numFmtId="0" fontId="0" fillId="0" borderId="0"/>
    <xf numFmtId="0" fontId="9" fillId="0" borderId="0"/>
  </cellStyleXfs>
  <cellXfs count="127">
    <xf numFmtId="0" fontId="0" fillId="0" borderId="0" xfId="0"/>
    <xf numFmtId="0" fontId="1" fillId="0" borderId="0" xfId="0" applyFont="1" applyAlignment="1">
      <alignment vertical="center"/>
    </xf>
    <xf numFmtId="0" fontId="1" fillId="0" borderId="0" xfId="0" applyFont="1" applyAlignment="1">
      <alignment horizontal="center" vertical="center"/>
    </xf>
    <xf numFmtId="0" fontId="1" fillId="0" borderId="0" xfId="0" applyFont="1" applyAlignment="1">
      <alignment horizontal="center" vertical="center" wrapText="1"/>
    </xf>
    <xf numFmtId="0" fontId="3" fillId="0" borderId="0" xfId="0" applyFont="1"/>
    <xf numFmtId="0" fontId="10" fillId="0" borderId="0" xfId="0" applyFont="1" applyAlignment="1">
      <alignment vertical="center"/>
    </xf>
    <xf numFmtId="0" fontId="11" fillId="0" borderId="0" xfId="0" applyFont="1" applyAlignment="1">
      <alignment vertical="center"/>
    </xf>
    <xf numFmtId="0" fontId="12" fillId="0" borderId="1" xfId="0" applyFont="1" applyBorder="1" applyAlignment="1">
      <alignment horizontal="center" vertical="center" wrapText="1"/>
    </xf>
    <xf numFmtId="0" fontId="5" fillId="2" borderId="3" xfId="0" applyFont="1" applyFill="1" applyBorder="1" applyAlignment="1">
      <alignment horizontal="left" vertical="top" wrapText="1"/>
    </xf>
    <xf numFmtId="0" fontId="12" fillId="0" borderId="3" xfId="0" applyFont="1" applyBorder="1" applyAlignment="1">
      <alignment horizontal="center" vertical="center" wrapText="1"/>
    </xf>
    <xf numFmtId="0" fontId="2" fillId="0" borderId="3" xfId="0" applyFont="1" applyBorder="1" applyAlignment="1">
      <alignment horizontal="left" vertical="center" wrapText="1"/>
    </xf>
    <xf numFmtId="0" fontId="2" fillId="0" borderId="3" xfId="0" quotePrefix="1" applyFont="1" applyBorder="1" applyAlignment="1">
      <alignment horizontal="left" vertical="center" wrapText="1"/>
    </xf>
    <xf numFmtId="0" fontId="2" fillId="0" borderId="3" xfId="0" applyFont="1" applyBorder="1" applyAlignment="1">
      <alignment horizontal="left" wrapText="1"/>
    </xf>
    <xf numFmtId="0" fontId="5" fillId="0" borderId="3" xfId="0" applyFont="1" applyBorder="1" applyAlignment="1">
      <alignment horizontal="left" vertical="center" wrapText="1"/>
    </xf>
    <xf numFmtId="0" fontId="5" fillId="2" borderId="4" xfId="0" applyFont="1" applyFill="1" applyBorder="1" applyAlignment="1">
      <alignment horizontal="left" vertical="top" wrapText="1"/>
    </xf>
    <xf numFmtId="0" fontId="5" fillId="3" borderId="3" xfId="0" applyFont="1" applyFill="1" applyBorder="1" applyAlignment="1">
      <alignment horizontal="left" vertical="top" wrapText="1"/>
    </xf>
    <xf numFmtId="0" fontId="5" fillId="2" borderId="3" xfId="0" quotePrefix="1" applyFont="1" applyFill="1" applyBorder="1" applyAlignment="1">
      <alignment horizontal="left" vertical="top" wrapText="1"/>
    </xf>
    <xf numFmtId="0" fontId="5" fillId="3" borderId="3" xfId="0" quotePrefix="1" applyFont="1" applyFill="1" applyBorder="1" applyAlignment="1">
      <alignment horizontal="left" vertical="top" wrapText="1"/>
    </xf>
    <xf numFmtId="0" fontId="2" fillId="2" borderId="3" xfId="0" applyFont="1" applyFill="1" applyBorder="1" applyAlignment="1">
      <alignment horizontal="left" vertical="top" wrapText="1"/>
    </xf>
    <xf numFmtId="0" fontId="5" fillId="2" borderId="3" xfId="0" applyFont="1" applyFill="1" applyBorder="1" applyAlignment="1">
      <alignment horizontal="left" vertical="center" wrapText="1"/>
    </xf>
    <xf numFmtId="0" fontId="2" fillId="2" borderId="3" xfId="0" applyFont="1" applyFill="1" applyBorder="1" applyAlignment="1">
      <alignment horizontal="left" vertical="center" wrapText="1"/>
    </xf>
    <xf numFmtId="0" fontId="2" fillId="0" borderId="3" xfId="0" applyFont="1" applyBorder="1" applyAlignment="1">
      <alignment horizontal="left" vertical="top" wrapText="1"/>
    </xf>
    <xf numFmtId="0" fontId="16" fillId="0" borderId="3" xfId="0" applyFont="1" applyBorder="1" applyAlignment="1">
      <alignment horizontal="left" vertical="top" wrapText="1"/>
    </xf>
    <xf numFmtId="0" fontId="17" fillId="0" borderId="3" xfId="0" applyFont="1" applyBorder="1" applyAlignment="1">
      <alignment vertical="top" wrapText="1"/>
    </xf>
    <xf numFmtId="0" fontId="19" fillId="0" borderId="3" xfId="0" applyFont="1" applyBorder="1" applyAlignment="1">
      <alignment horizontal="left" vertical="top" wrapText="1"/>
    </xf>
    <xf numFmtId="0" fontId="2" fillId="0" borderId="3" xfId="0" applyFont="1" applyBorder="1" applyAlignment="1">
      <alignment horizontal="center" vertical="top" wrapText="1"/>
    </xf>
    <xf numFmtId="0" fontId="0" fillId="0" borderId="1" xfId="0" applyBorder="1" applyAlignment="1">
      <alignment horizontal="center" vertical="center"/>
    </xf>
    <xf numFmtId="0" fontId="3" fillId="0" borderId="1" xfId="0" applyFont="1" applyBorder="1" applyAlignment="1">
      <alignment horizontal="center" vertical="center"/>
    </xf>
    <xf numFmtId="0" fontId="11" fillId="0" borderId="8" xfId="0" applyFont="1" applyBorder="1" applyAlignment="1">
      <alignment vertical="center" wrapText="1"/>
    </xf>
    <xf numFmtId="0" fontId="1" fillId="0" borderId="9" xfId="0" applyFont="1" applyBorder="1" applyAlignment="1">
      <alignment horizontal="center" vertical="center" wrapText="1"/>
    </xf>
    <xf numFmtId="0" fontId="1" fillId="0" borderId="8" xfId="0" applyFont="1" applyBorder="1" applyAlignment="1">
      <alignment vertical="center" wrapText="1"/>
    </xf>
    <xf numFmtId="0" fontId="21" fillId="0" borderId="10" xfId="0" applyFont="1" applyBorder="1" applyAlignment="1">
      <alignment horizontal="center" vertical="center" wrapText="1"/>
    </xf>
    <xf numFmtId="0" fontId="21" fillId="0" borderId="11" xfId="0" applyFont="1" applyBorder="1" applyAlignment="1">
      <alignment horizontal="center" vertical="center" wrapText="1"/>
    </xf>
    <xf numFmtId="0" fontId="21" fillId="0" borderId="12" xfId="0" applyFont="1" applyBorder="1" applyAlignment="1">
      <alignment horizontal="center" vertical="center" wrapText="1"/>
    </xf>
    <xf numFmtId="0" fontId="1" fillId="2" borderId="0" xfId="0" applyFont="1" applyFill="1" applyAlignment="1">
      <alignment vertical="center"/>
    </xf>
    <xf numFmtId="0" fontId="1" fillId="2" borderId="0" xfId="0" applyFont="1" applyFill="1" applyAlignment="1">
      <alignment horizontal="center" vertical="center"/>
    </xf>
    <xf numFmtId="0" fontId="1" fillId="2" borderId="0" xfId="0" applyFont="1" applyFill="1" applyAlignment="1">
      <alignment horizontal="center" vertical="center" wrapText="1"/>
    </xf>
    <xf numFmtId="0" fontId="21" fillId="2" borderId="1" xfId="0" applyFont="1" applyFill="1" applyBorder="1" applyAlignment="1">
      <alignment horizontal="center" vertical="center" wrapText="1"/>
    </xf>
    <xf numFmtId="0" fontId="10" fillId="3" borderId="0" xfId="0" applyFont="1" applyFill="1" applyAlignment="1">
      <alignment horizontal="center" vertical="center"/>
    </xf>
    <xf numFmtId="0" fontId="0" fillId="3" borderId="0" xfId="0" applyFill="1"/>
    <xf numFmtId="0" fontId="1" fillId="3" borderId="0" xfId="0" applyFont="1" applyFill="1" applyAlignment="1">
      <alignment horizontal="center" vertical="center"/>
    </xf>
    <xf numFmtId="0" fontId="1" fillId="3" borderId="0" xfId="0" applyFont="1" applyFill="1" applyAlignment="1">
      <alignment horizontal="center" vertical="center" wrapText="1"/>
    </xf>
    <xf numFmtId="0" fontId="1" fillId="3" borderId="0" xfId="0" applyFont="1" applyFill="1" applyAlignment="1">
      <alignment vertical="center"/>
    </xf>
    <xf numFmtId="0" fontId="21" fillId="3" borderId="1" xfId="0" applyFont="1" applyFill="1" applyBorder="1" applyAlignment="1">
      <alignment horizontal="center" vertical="center" wrapText="1"/>
    </xf>
    <xf numFmtId="10" fontId="0" fillId="0" borderId="0" xfId="0" applyNumberFormat="1"/>
    <xf numFmtId="0" fontId="22" fillId="0" borderId="3" xfId="0" applyFont="1" applyBorder="1" applyAlignment="1">
      <alignment horizontal="left" vertical="center" wrapText="1"/>
    </xf>
    <xf numFmtId="0" fontId="3" fillId="0" borderId="13" xfId="0" applyFont="1" applyBorder="1" applyAlignment="1">
      <alignment horizontal="center" vertical="center"/>
    </xf>
    <xf numFmtId="0" fontId="5" fillId="2" borderId="14" xfId="0" applyFont="1" applyFill="1" applyBorder="1" applyAlignment="1">
      <alignment horizontal="left" vertical="top" wrapText="1"/>
    </xf>
    <xf numFmtId="0" fontId="3" fillId="0" borderId="2" xfId="0" applyFont="1" applyBorder="1" applyAlignment="1">
      <alignment horizontal="center" vertical="center"/>
    </xf>
    <xf numFmtId="0" fontId="2" fillId="0" borderId="4" xfId="0" applyFont="1" applyBorder="1" applyAlignment="1">
      <alignment horizontal="left" vertical="top" wrapText="1"/>
    </xf>
    <xf numFmtId="0" fontId="3" fillId="0" borderId="15" xfId="0" applyFont="1" applyBorder="1" applyAlignment="1">
      <alignment horizontal="center" vertical="center"/>
    </xf>
    <xf numFmtId="0" fontId="5" fillId="2" borderId="16" xfId="0" applyFont="1" applyFill="1" applyBorder="1" applyAlignment="1">
      <alignment horizontal="left" vertical="top" wrapText="1"/>
    </xf>
    <xf numFmtId="0" fontId="3" fillId="0" borderId="18" xfId="0" applyFont="1" applyBorder="1" applyAlignment="1">
      <alignment horizontal="center" vertical="center"/>
    </xf>
    <xf numFmtId="0" fontId="3" fillId="0" borderId="10" xfId="0" applyFont="1" applyBorder="1" applyAlignment="1">
      <alignment horizontal="center" vertical="center"/>
    </xf>
    <xf numFmtId="0" fontId="5" fillId="2" borderId="19" xfId="0" applyFont="1" applyFill="1" applyBorder="1" applyAlignment="1">
      <alignment horizontal="left" vertical="top" wrapText="1"/>
    </xf>
    <xf numFmtId="0" fontId="23" fillId="0" borderId="3" xfId="0" applyFont="1" applyBorder="1" applyAlignment="1">
      <alignment horizontal="left" vertical="top" wrapText="1"/>
    </xf>
    <xf numFmtId="0" fontId="2" fillId="0" borderId="1" xfId="0" quotePrefix="1" applyFont="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center" vertical="top" wrapText="1"/>
    </xf>
    <xf numFmtId="0" fontId="5"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22" fillId="0" borderId="1" xfId="0" applyFont="1" applyBorder="1" applyAlignment="1">
      <alignment horizontal="center" vertical="center" wrapText="1"/>
    </xf>
    <xf numFmtId="0" fontId="5" fillId="0" borderId="1" xfId="0" applyFont="1" applyBorder="1" applyAlignment="1">
      <alignment horizontal="center" vertical="top" wrapText="1"/>
    </xf>
    <xf numFmtId="0" fontId="5" fillId="0" borderId="2" xfId="0" applyFont="1" applyBorder="1" applyAlignment="1">
      <alignment horizontal="center" vertical="top" wrapText="1"/>
    </xf>
    <xf numFmtId="9" fontId="5" fillId="0" borderId="1" xfId="0" applyNumberFormat="1" applyFont="1" applyBorder="1" applyAlignment="1">
      <alignment horizontal="center" vertical="top" wrapText="1"/>
    </xf>
    <xf numFmtId="0" fontId="5" fillId="0" borderId="1" xfId="0" quotePrefix="1" applyFont="1" applyBorder="1" applyAlignment="1">
      <alignment horizontal="center" vertical="top" wrapText="1"/>
    </xf>
    <xf numFmtId="0" fontId="5" fillId="0" borderId="1" xfId="0" applyFont="1" applyBorder="1" applyAlignment="1">
      <alignment horizontal="left" vertical="top" wrapText="1"/>
    </xf>
    <xf numFmtId="0" fontId="5" fillId="0" borderId="13" xfId="0" applyFont="1" applyBorder="1" applyAlignment="1">
      <alignment horizontal="center" vertical="top" wrapText="1"/>
    </xf>
    <xf numFmtId="0" fontId="5" fillId="0" borderId="17" xfId="0" applyFont="1" applyBorder="1" applyAlignment="1">
      <alignment horizontal="center" vertical="top" wrapText="1"/>
    </xf>
    <xf numFmtId="0" fontId="5" fillId="0" borderId="1" xfId="0" applyFont="1" applyBorder="1" applyAlignment="1">
      <alignment horizontal="center" vertical="top"/>
    </xf>
    <xf numFmtId="0" fontId="5" fillId="0" borderId="1" xfId="0" applyFont="1" applyBorder="1" applyAlignment="1">
      <alignment vertical="top" wrapText="1"/>
    </xf>
    <xf numFmtId="0" fontId="5" fillId="0" borderId="11" xfId="0" applyFont="1" applyBorder="1" applyAlignment="1">
      <alignment horizontal="center" vertical="top" wrapText="1"/>
    </xf>
    <xf numFmtId="0" fontId="2" fillId="0" borderId="2" xfId="0" applyFont="1" applyBorder="1" applyAlignment="1">
      <alignment horizontal="center" vertical="top" wrapText="1"/>
    </xf>
    <xf numFmtId="0" fontId="2" fillId="0" borderId="1" xfId="0" quotePrefix="1" applyFont="1" applyBorder="1" applyAlignment="1">
      <alignment horizontal="center" vertical="top" wrapText="1"/>
    </xf>
    <xf numFmtId="0" fontId="16" fillId="0" borderId="1" xfId="0" applyFont="1" applyBorder="1" applyAlignment="1">
      <alignment horizontal="center" vertical="top" wrapText="1"/>
    </xf>
    <xf numFmtId="0" fontId="23" fillId="0" borderId="1" xfId="0" applyFont="1" applyBorder="1" applyAlignment="1">
      <alignment horizontal="center" vertical="top" wrapText="1"/>
    </xf>
    <xf numFmtId="9" fontId="2" fillId="0" borderId="1" xfId="0" quotePrefix="1" applyNumberFormat="1" applyFont="1" applyBorder="1" applyAlignment="1">
      <alignment horizontal="center" vertical="top" wrapText="1"/>
    </xf>
    <xf numFmtId="0" fontId="19" fillId="0" borderId="1" xfId="0" quotePrefix="1" applyFont="1" applyBorder="1" applyAlignment="1">
      <alignment horizontal="center" vertical="top"/>
    </xf>
    <xf numFmtId="0" fontId="19" fillId="0" borderId="1" xfId="0" applyFont="1" applyBorder="1" applyAlignment="1">
      <alignment horizontal="center" vertical="top" wrapText="1"/>
    </xf>
    <xf numFmtId="0" fontId="17" fillId="0" borderId="1" xfId="0" applyFont="1" applyBorder="1" applyAlignment="1">
      <alignment horizontal="center" vertical="top" wrapText="1"/>
    </xf>
    <xf numFmtId="0" fontId="12" fillId="0" borderId="0" xfId="0" applyFont="1" applyAlignment="1">
      <alignment horizontal="center" vertical="center" wrapText="1"/>
    </xf>
    <xf numFmtId="0" fontId="12" fillId="0" borderId="20" xfId="0" applyFont="1" applyBorder="1" applyAlignment="1">
      <alignment horizontal="center" vertical="center" wrapText="1"/>
    </xf>
    <xf numFmtId="0" fontId="2" fillId="0" borderId="20" xfId="0" quotePrefix="1" applyFont="1" applyBorder="1" applyAlignment="1">
      <alignment horizontal="center" vertical="center" wrapText="1"/>
    </xf>
    <xf numFmtId="0" fontId="2" fillId="0" borderId="20" xfId="0" applyFont="1" applyBorder="1" applyAlignment="1">
      <alignment horizontal="center" vertical="center" wrapText="1"/>
    </xf>
    <xf numFmtId="0" fontId="2" fillId="0" borderId="20" xfId="0" applyFont="1" applyBorder="1" applyAlignment="1">
      <alignment horizontal="center" vertical="top" wrapText="1"/>
    </xf>
    <xf numFmtId="0" fontId="22" fillId="0" borderId="20" xfId="0" applyFont="1" applyBorder="1" applyAlignment="1">
      <alignment horizontal="center" vertical="center" wrapText="1"/>
    </xf>
    <xf numFmtId="0" fontId="5" fillId="0" borderId="20" xfId="0" applyFont="1" applyBorder="1" applyAlignment="1">
      <alignment horizontal="center" vertical="top" wrapText="1"/>
    </xf>
    <xf numFmtId="0" fontId="5" fillId="0" borderId="21" xfId="0" applyFont="1" applyBorder="1" applyAlignment="1">
      <alignment horizontal="center" vertical="top" wrapText="1"/>
    </xf>
    <xf numFmtId="9" fontId="5" fillId="0" borderId="20" xfId="0" applyNumberFormat="1" applyFont="1" applyBorder="1" applyAlignment="1">
      <alignment horizontal="center" vertical="top" wrapText="1"/>
    </xf>
    <xf numFmtId="0" fontId="5" fillId="0" borderId="20" xfId="0" quotePrefix="1" applyFont="1" applyBorder="1" applyAlignment="1">
      <alignment horizontal="center" vertical="top" wrapText="1"/>
    </xf>
    <xf numFmtId="0" fontId="5" fillId="0" borderId="22" xfId="0" applyFont="1" applyBorder="1" applyAlignment="1">
      <alignment horizontal="center" vertical="top" wrapText="1"/>
    </xf>
    <xf numFmtId="0" fontId="5" fillId="0" borderId="23" xfId="0" applyFont="1" applyBorder="1" applyAlignment="1">
      <alignment horizontal="center" vertical="top" wrapText="1"/>
    </xf>
    <xf numFmtId="0" fontId="5" fillId="0" borderId="20" xfId="0" applyFont="1" applyBorder="1" applyAlignment="1">
      <alignment horizontal="center" vertical="top"/>
    </xf>
    <xf numFmtId="0" fontId="5" fillId="0" borderId="20" xfId="0" applyFont="1" applyBorder="1" applyAlignment="1">
      <alignment horizontal="left" vertical="top" wrapText="1"/>
    </xf>
    <xf numFmtId="0" fontId="5" fillId="0" borderId="20" xfId="0" applyFont="1" applyBorder="1" applyAlignment="1">
      <alignment vertical="top" wrapText="1"/>
    </xf>
    <xf numFmtId="0" fontId="5" fillId="0" borderId="24" xfId="0" applyFont="1" applyBorder="1" applyAlignment="1">
      <alignment horizontal="center" vertical="top" wrapText="1"/>
    </xf>
    <xf numFmtId="0" fontId="2" fillId="0" borderId="21" xfId="0" applyFont="1" applyBorder="1" applyAlignment="1">
      <alignment horizontal="center" vertical="top" wrapText="1"/>
    </xf>
    <xf numFmtId="0" fontId="2" fillId="0" borderId="20" xfId="0" quotePrefix="1" applyFont="1" applyBorder="1" applyAlignment="1">
      <alignment horizontal="center" vertical="top" wrapText="1"/>
    </xf>
    <xf numFmtId="0" fontId="16" fillId="0" borderId="20" xfId="0" applyFont="1" applyBorder="1" applyAlignment="1">
      <alignment horizontal="center" vertical="top" wrapText="1"/>
    </xf>
    <xf numFmtId="9" fontId="2" fillId="0" borderId="20" xfId="0" quotePrefix="1" applyNumberFormat="1" applyFont="1" applyBorder="1" applyAlignment="1">
      <alignment horizontal="center" vertical="top" wrapText="1"/>
    </xf>
    <xf numFmtId="0" fontId="19" fillId="0" borderId="20" xfId="0" applyFont="1" applyBorder="1" applyAlignment="1">
      <alignment horizontal="center" vertical="top" wrapText="1"/>
    </xf>
    <xf numFmtId="0" fontId="3" fillId="0" borderId="0" xfId="0" applyFont="1" applyAlignment="1">
      <alignment horizontal="center" vertical="center"/>
    </xf>
    <xf numFmtId="0" fontId="2" fillId="4" borderId="3" xfId="0" quotePrefix="1" applyFont="1" applyFill="1" applyBorder="1" applyAlignment="1">
      <alignment horizontal="left" vertical="center" wrapText="1"/>
    </xf>
    <xf numFmtId="0" fontId="5" fillId="0" borderId="0" xfId="0" applyFont="1" applyAlignment="1">
      <alignment horizontal="center" vertical="center" wrapText="1"/>
    </xf>
    <xf numFmtId="0" fontId="5" fillId="0" borderId="0" xfId="0" applyFont="1" applyAlignment="1">
      <alignment horizontal="left" vertical="center"/>
    </xf>
    <xf numFmtId="0" fontId="0" fillId="0" borderId="13" xfId="0" applyBorder="1" applyAlignment="1">
      <alignment horizontal="center" vertical="center"/>
    </xf>
    <xf numFmtId="0" fontId="12" fillId="0" borderId="14" xfId="0" applyFont="1" applyBorder="1" applyAlignment="1">
      <alignment horizontal="center" vertical="center" wrapText="1"/>
    </xf>
    <xf numFmtId="0" fontId="12" fillId="0" borderId="13" xfId="0" applyFont="1" applyBorder="1" applyAlignment="1">
      <alignment horizontal="center" vertical="center" wrapText="1"/>
    </xf>
    <xf numFmtId="0" fontId="12" fillId="0" borderId="22" xfId="0" applyFont="1" applyBorder="1" applyAlignment="1">
      <alignment horizontal="center" vertical="center" wrapText="1"/>
    </xf>
    <xf numFmtId="0" fontId="2" fillId="0" borderId="0" xfId="0" applyFont="1" applyAlignment="1">
      <alignment horizontal="left" vertical="center" wrapText="1"/>
    </xf>
    <xf numFmtId="0" fontId="2" fillId="0" borderId="0" xfId="0" quotePrefix="1" applyFont="1" applyAlignment="1">
      <alignment horizontal="center" vertical="center" wrapText="1"/>
    </xf>
    <xf numFmtId="0" fontId="2" fillId="0" borderId="0" xfId="0" applyFont="1" applyAlignment="1">
      <alignment horizontal="center" vertical="center" wrapText="1"/>
    </xf>
    <xf numFmtId="0" fontId="2" fillId="0" borderId="0" xfId="0" quotePrefix="1" applyFont="1" applyAlignment="1">
      <alignment horizontal="left" vertical="center" wrapText="1"/>
    </xf>
    <xf numFmtId="0" fontId="2" fillId="0" borderId="0" xfId="0" applyFont="1" applyAlignment="1">
      <alignment horizontal="left" wrapText="1"/>
    </xf>
    <xf numFmtId="0" fontId="2" fillId="0" borderId="0" xfId="0" applyFont="1" applyAlignment="1">
      <alignment horizontal="center" vertical="top" wrapText="1"/>
    </xf>
    <xf numFmtId="0" fontId="5" fillId="0" borderId="0" xfId="0" applyFont="1" applyAlignment="1">
      <alignment horizontal="left" vertical="center" wrapText="1"/>
    </xf>
    <xf numFmtId="0" fontId="1" fillId="0" borderId="0" xfId="0" applyFont="1" applyAlignment="1">
      <alignment vertical="center" wrapText="1"/>
    </xf>
    <xf numFmtId="0" fontId="0" fillId="0" borderId="0" xfId="0" applyAlignment="1">
      <alignment wrapText="1"/>
    </xf>
    <xf numFmtId="0" fontId="10" fillId="0" borderId="0" xfId="0" applyFont="1" applyAlignment="1">
      <alignment vertical="center" wrapText="1"/>
    </xf>
    <xf numFmtId="0" fontId="20" fillId="0" borderId="0" xfId="0" applyFont="1" applyAlignment="1">
      <alignment horizontal="center" vertical="center" wrapText="1"/>
    </xf>
    <xf numFmtId="0" fontId="11" fillId="2" borderId="0" xfId="0" applyFont="1" applyFill="1" applyAlignment="1">
      <alignment horizontal="center" vertical="center"/>
    </xf>
    <xf numFmtId="0" fontId="10" fillId="2" borderId="0" xfId="0" applyFont="1" applyFill="1" applyAlignment="1">
      <alignment horizontal="center" vertical="center"/>
    </xf>
    <xf numFmtId="0" fontId="11" fillId="3" borderId="0" xfId="0" applyFont="1" applyFill="1" applyAlignment="1">
      <alignment horizontal="center" vertical="center"/>
    </xf>
    <xf numFmtId="0" fontId="10" fillId="3" borderId="0" xfId="0" applyFont="1" applyFill="1" applyAlignment="1">
      <alignment horizontal="center" vertical="center"/>
    </xf>
    <xf numFmtId="0" fontId="11" fillId="0" borderId="5"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7" xfId="0" applyFont="1" applyBorder="1" applyAlignment="1">
      <alignment horizontal="center" vertical="center" wrapText="1"/>
    </xf>
  </cellXfs>
  <cellStyles count="2">
    <cellStyle name="Normal" xfId="0" builtinId="0"/>
    <cellStyle name="Normal 2" xfId="1" xr:uid="{00000000-0005-0000-0000-000001000000}"/>
  </cellStyles>
  <dxfs count="18">
    <dxf>
      <fill>
        <patternFill>
          <fgColor theme="2" tint="-0.24994659260841701"/>
          <bgColor theme="2" tint="-0.24994659260841701"/>
        </patternFill>
      </fill>
    </dxf>
    <dxf>
      <fill>
        <patternFill>
          <fgColor theme="2" tint="-0.24994659260841701"/>
          <bgColor theme="2" tint="-0.24994659260841701"/>
        </patternFill>
      </fill>
    </dxf>
    <dxf>
      <fill>
        <patternFill>
          <fgColor theme="2" tint="-0.24994659260841701"/>
          <bgColor theme="2" tint="-0.24994659260841701"/>
        </patternFill>
      </fill>
    </dxf>
    <dxf>
      <fill>
        <patternFill>
          <fgColor theme="2" tint="-0.24994659260841701"/>
          <bgColor theme="2" tint="-0.24994659260841701"/>
        </patternFill>
      </fill>
    </dxf>
    <dxf>
      <fill>
        <patternFill>
          <fgColor theme="2" tint="-0.24994659260841701"/>
          <bgColor theme="2" tint="-0.24994659260841701"/>
        </patternFill>
      </fill>
    </dxf>
    <dxf>
      <fill>
        <patternFill>
          <fgColor theme="2" tint="-0.24994659260841701"/>
          <bgColor theme="2" tint="-0.24994659260841701"/>
        </patternFill>
      </fill>
    </dxf>
    <dxf>
      <fill>
        <patternFill>
          <fgColor theme="2" tint="-0.24994659260841701"/>
          <bgColor theme="2" tint="-0.24994659260841701"/>
        </patternFill>
      </fill>
    </dxf>
    <dxf>
      <fill>
        <patternFill>
          <fgColor rgb="FFFF0000"/>
          <bgColor rgb="FFFF0000"/>
        </patternFill>
      </fill>
    </dxf>
    <dxf>
      <fill>
        <patternFill patternType="none">
          <fgColor auto="1"/>
          <bgColor auto="1"/>
        </patternFill>
      </fill>
    </dxf>
    <dxf>
      <fill>
        <patternFill>
          <fgColor theme="2" tint="-0.24994659260841701"/>
          <bgColor theme="2" tint="-0.24994659260841701"/>
        </patternFill>
      </fill>
    </dxf>
    <dxf>
      <fill>
        <patternFill>
          <fgColor theme="2" tint="-0.24994659260841701"/>
          <bgColor theme="2" tint="-0.24994659260841701"/>
        </patternFill>
      </fill>
    </dxf>
    <dxf>
      <fill>
        <patternFill>
          <fgColor theme="2" tint="-0.24994659260841701"/>
          <bgColor theme="2" tint="-0.24994659260841701"/>
        </patternFill>
      </fill>
    </dxf>
    <dxf>
      <fill>
        <patternFill>
          <fgColor theme="2" tint="-0.24994659260841701"/>
          <bgColor theme="2" tint="-0.24994659260841701"/>
        </patternFill>
      </fill>
    </dxf>
    <dxf>
      <fill>
        <patternFill>
          <fgColor rgb="FFFF0000"/>
          <bgColor rgb="FFFF0000"/>
        </patternFill>
      </fill>
    </dxf>
    <dxf>
      <fill>
        <patternFill patternType="none">
          <fgColor auto="1"/>
          <bgColor auto="1"/>
        </patternFill>
      </fill>
    </dxf>
    <dxf>
      <fill>
        <patternFill>
          <fgColor theme="2" tint="-0.24994659260841701"/>
          <bgColor theme="2" tint="-0.24994659260841701"/>
        </patternFill>
      </fill>
    </dxf>
    <dxf>
      <fill>
        <patternFill>
          <fgColor theme="2" tint="-0.24994659260841701"/>
          <bgColor theme="2" tint="-0.24994659260841701"/>
        </patternFill>
      </fill>
    </dxf>
    <dxf>
      <fill>
        <patternFill>
          <fgColor theme="2" tint="-0.24994659260841701"/>
          <bgColor theme="2" tint="-0.2499465926084170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2</xdr:col>
      <xdr:colOff>423862</xdr:colOff>
      <xdr:row>28</xdr:row>
      <xdr:rowOff>204785</xdr:rowOff>
    </xdr:from>
    <xdr:to>
      <xdr:col>2</xdr:col>
      <xdr:colOff>1509712</xdr:colOff>
      <xdr:row>28</xdr:row>
      <xdr:rowOff>904874</xdr:rowOff>
    </xdr:to>
    <xdr:grpSp>
      <xdr:nvGrpSpPr>
        <xdr:cNvPr id="2" name="Group 1">
          <a:extLst>
            <a:ext uri="{FF2B5EF4-FFF2-40B4-BE49-F238E27FC236}">
              <a16:creationId xmlns:a16="http://schemas.microsoft.com/office/drawing/2014/main" id="{00000000-0008-0000-0000-000002000000}"/>
            </a:ext>
          </a:extLst>
        </xdr:cNvPr>
        <xdr:cNvGrpSpPr/>
      </xdr:nvGrpSpPr>
      <xdr:grpSpPr>
        <a:xfrm>
          <a:off x="3526291" y="14655571"/>
          <a:ext cx="1085850" cy="700089"/>
          <a:chOff x="5010150" y="14344650"/>
          <a:chExt cx="1085850" cy="752475"/>
        </a:xfrm>
      </xdr:grpSpPr>
      <xdr:sp macro="" textlink="">
        <xdr:nvSpPr>
          <xdr:cNvPr id="3" name="Line 431">
            <a:extLst>
              <a:ext uri="{FF2B5EF4-FFF2-40B4-BE49-F238E27FC236}">
                <a16:creationId xmlns:a16="http://schemas.microsoft.com/office/drawing/2014/main" id="{00000000-0008-0000-0000-000003000000}"/>
              </a:ext>
            </a:extLst>
          </xdr:cNvPr>
          <xdr:cNvSpPr>
            <a:spLocks noChangeShapeType="1"/>
          </xdr:cNvSpPr>
        </xdr:nvSpPr>
        <xdr:spPr bwMode="auto">
          <a:xfrm>
            <a:off x="5114925" y="14801850"/>
            <a:ext cx="228600" cy="9525"/>
          </a:xfrm>
          <a:prstGeom prst="line">
            <a:avLst/>
          </a:prstGeom>
          <a:noFill/>
          <a:ln w="9525">
            <a:solidFill>
              <a:srgbClr val="000000"/>
            </a:solidFill>
            <a:round/>
            <a:headEnd/>
            <a:tailEnd/>
          </a:ln>
        </xdr:spPr>
      </xdr:sp>
      <xdr:grpSp>
        <xdr:nvGrpSpPr>
          <xdr:cNvPr id="4" name="Group 602">
            <a:extLst>
              <a:ext uri="{FF2B5EF4-FFF2-40B4-BE49-F238E27FC236}">
                <a16:creationId xmlns:a16="http://schemas.microsoft.com/office/drawing/2014/main" id="{00000000-0008-0000-0000-000004000000}"/>
              </a:ext>
            </a:extLst>
          </xdr:cNvPr>
          <xdr:cNvGrpSpPr/>
        </xdr:nvGrpSpPr>
        <xdr:grpSpPr>
          <a:xfrm>
            <a:off x="5010150" y="14344650"/>
            <a:ext cx="1085850" cy="752475"/>
            <a:chOff x="5010150" y="14344650"/>
            <a:chExt cx="1085850" cy="752475"/>
          </a:xfrm>
        </xdr:grpSpPr>
        <xdr:sp macro="" textlink="">
          <xdr:nvSpPr>
            <xdr:cNvPr id="5" name="Line 428">
              <a:extLst>
                <a:ext uri="{FF2B5EF4-FFF2-40B4-BE49-F238E27FC236}">
                  <a16:creationId xmlns:a16="http://schemas.microsoft.com/office/drawing/2014/main" id="{00000000-0008-0000-0000-000005000000}"/>
                </a:ext>
              </a:extLst>
            </xdr:cNvPr>
            <xdr:cNvSpPr>
              <a:spLocks noChangeShapeType="1"/>
            </xdr:cNvSpPr>
          </xdr:nvSpPr>
          <xdr:spPr bwMode="auto">
            <a:xfrm>
              <a:off x="5943600" y="14449425"/>
              <a:ext cx="0" cy="342900"/>
            </a:xfrm>
            <a:prstGeom prst="line">
              <a:avLst/>
            </a:prstGeom>
            <a:noFill/>
            <a:ln w="9525">
              <a:solidFill>
                <a:srgbClr val="000000"/>
              </a:solidFill>
              <a:round/>
              <a:headEnd/>
              <a:tailEnd/>
            </a:ln>
          </xdr:spPr>
        </xdr:sp>
        <xdr:sp macro="" textlink="">
          <xdr:nvSpPr>
            <xdr:cNvPr id="6" name="Line 432">
              <a:extLst>
                <a:ext uri="{FF2B5EF4-FFF2-40B4-BE49-F238E27FC236}">
                  <a16:creationId xmlns:a16="http://schemas.microsoft.com/office/drawing/2014/main" id="{00000000-0008-0000-0000-000006000000}"/>
                </a:ext>
              </a:extLst>
            </xdr:cNvPr>
            <xdr:cNvSpPr>
              <a:spLocks noChangeShapeType="1"/>
            </xdr:cNvSpPr>
          </xdr:nvSpPr>
          <xdr:spPr bwMode="auto">
            <a:xfrm>
              <a:off x="5343525" y="14344650"/>
              <a:ext cx="0" cy="342900"/>
            </a:xfrm>
            <a:prstGeom prst="line">
              <a:avLst/>
            </a:prstGeom>
            <a:noFill/>
            <a:ln w="9525">
              <a:solidFill>
                <a:srgbClr val="000000"/>
              </a:solidFill>
              <a:round/>
              <a:headEnd/>
              <a:tailEnd/>
            </a:ln>
          </xdr:spPr>
        </xdr:sp>
        <xdr:grpSp>
          <xdr:nvGrpSpPr>
            <xdr:cNvPr id="7" name="Group 601">
              <a:extLst>
                <a:ext uri="{FF2B5EF4-FFF2-40B4-BE49-F238E27FC236}">
                  <a16:creationId xmlns:a16="http://schemas.microsoft.com/office/drawing/2014/main" id="{00000000-0008-0000-0000-000007000000}"/>
                </a:ext>
              </a:extLst>
            </xdr:cNvPr>
            <xdr:cNvGrpSpPr/>
          </xdr:nvGrpSpPr>
          <xdr:grpSpPr>
            <a:xfrm>
              <a:off x="5010150" y="14354175"/>
              <a:ext cx="1085850" cy="742950"/>
              <a:chOff x="5010150" y="14344650"/>
              <a:chExt cx="1085850" cy="742950"/>
            </a:xfrm>
          </xdr:grpSpPr>
          <xdr:sp macro="" textlink="">
            <xdr:nvSpPr>
              <xdr:cNvPr id="8" name="Line 422">
                <a:extLst>
                  <a:ext uri="{FF2B5EF4-FFF2-40B4-BE49-F238E27FC236}">
                    <a16:creationId xmlns:a16="http://schemas.microsoft.com/office/drawing/2014/main" id="{00000000-0008-0000-0000-000008000000}"/>
                  </a:ext>
                </a:extLst>
              </xdr:cNvPr>
              <xdr:cNvSpPr>
                <a:spLocks noChangeShapeType="1"/>
              </xdr:cNvSpPr>
            </xdr:nvSpPr>
            <xdr:spPr bwMode="auto">
              <a:xfrm flipV="1">
                <a:off x="5019675" y="14344650"/>
                <a:ext cx="457200" cy="0"/>
              </a:xfrm>
              <a:prstGeom prst="line">
                <a:avLst/>
              </a:prstGeom>
              <a:noFill/>
              <a:ln w="28575">
                <a:solidFill>
                  <a:srgbClr val="000000"/>
                </a:solidFill>
                <a:round/>
                <a:headEnd/>
                <a:tailEnd/>
              </a:ln>
            </xdr:spPr>
          </xdr:sp>
          <xdr:sp macro="" textlink="">
            <xdr:nvSpPr>
              <xdr:cNvPr id="9" name="Line 423">
                <a:extLst>
                  <a:ext uri="{FF2B5EF4-FFF2-40B4-BE49-F238E27FC236}">
                    <a16:creationId xmlns:a16="http://schemas.microsoft.com/office/drawing/2014/main" id="{00000000-0008-0000-0000-000009000000}"/>
                  </a:ext>
                </a:extLst>
              </xdr:cNvPr>
              <xdr:cNvSpPr>
                <a:spLocks noChangeShapeType="1"/>
              </xdr:cNvSpPr>
            </xdr:nvSpPr>
            <xdr:spPr bwMode="auto">
              <a:xfrm flipV="1">
                <a:off x="5010150" y="14478000"/>
                <a:ext cx="457200" cy="0"/>
              </a:xfrm>
              <a:prstGeom prst="line">
                <a:avLst/>
              </a:prstGeom>
              <a:noFill/>
              <a:ln w="28575">
                <a:solidFill>
                  <a:srgbClr val="000000"/>
                </a:solidFill>
                <a:round/>
                <a:headEnd/>
                <a:tailEnd/>
              </a:ln>
            </xdr:spPr>
          </xdr:sp>
          <xdr:sp macro="" textlink="">
            <xdr:nvSpPr>
              <xdr:cNvPr id="10" name="Line 424">
                <a:extLst>
                  <a:ext uri="{FF2B5EF4-FFF2-40B4-BE49-F238E27FC236}">
                    <a16:creationId xmlns:a16="http://schemas.microsoft.com/office/drawing/2014/main" id="{00000000-0008-0000-0000-00000A000000}"/>
                  </a:ext>
                </a:extLst>
              </xdr:cNvPr>
              <xdr:cNvSpPr>
                <a:spLocks noChangeShapeType="1"/>
              </xdr:cNvSpPr>
            </xdr:nvSpPr>
            <xdr:spPr bwMode="auto">
              <a:xfrm flipV="1">
                <a:off x="5638800" y="14344650"/>
                <a:ext cx="457200" cy="0"/>
              </a:xfrm>
              <a:prstGeom prst="line">
                <a:avLst/>
              </a:prstGeom>
              <a:noFill/>
              <a:ln w="28575">
                <a:solidFill>
                  <a:srgbClr val="000000"/>
                </a:solidFill>
                <a:round/>
                <a:headEnd/>
                <a:tailEnd/>
              </a:ln>
            </xdr:spPr>
          </xdr:sp>
          <xdr:sp macro="" textlink="">
            <xdr:nvSpPr>
              <xdr:cNvPr id="11" name="Line 425">
                <a:extLst>
                  <a:ext uri="{FF2B5EF4-FFF2-40B4-BE49-F238E27FC236}">
                    <a16:creationId xmlns:a16="http://schemas.microsoft.com/office/drawing/2014/main" id="{00000000-0008-0000-0000-00000B000000}"/>
                  </a:ext>
                </a:extLst>
              </xdr:cNvPr>
              <xdr:cNvSpPr>
                <a:spLocks noChangeShapeType="1"/>
              </xdr:cNvSpPr>
            </xdr:nvSpPr>
            <xdr:spPr bwMode="auto">
              <a:xfrm flipV="1">
                <a:off x="5638800" y="14478000"/>
                <a:ext cx="457200" cy="0"/>
              </a:xfrm>
              <a:prstGeom prst="line">
                <a:avLst/>
              </a:prstGeom>
              <a:noFill/>
              <a:ln w="28575">
                <a:solidFill>
                  <a:srgbClr val="000000"/>
                </a:solidFill>
                <a:round/>
                <a:headEnd/>
                <a:tailEnd/>
              </a:ln>
            </xdr:spPr>
          </xdr:sp>
          <xdr:sp macro="" textlink="">
            <xdr:nvSpPr>
              <xdr:cNvPr id="12" name="Line 426">
                <a:extLst>
                  <a:ext uri="{FF2B5EF4-FFF2-40B4-BE49-F238E27FC236}">
                    <a16:creationId xmlns:a16="http://schemas.microsoft.com/office/drawing/2014/main" id="{00000000-0008-0000-0000-00000C000000}"/>
                  </a:ext>
                </a:extLst>
              </xdr:cNvPr>
              <xdr:cNvSpPr>
                <a:spLocks noChangeShapeType="1"/>
              </xdr:cNvSpPr>
            </xdr:nvSpPr>
            <xdr:spPr bwMode="auto">
              <a:xfrm>
                <a:off x="5105400" y="14458950"/>
                <a:ext cx="0" cy="342900"/>
              </a:xfrm>
              <a:prstGeom prst="line">
                <a:avLst/>
              </a:prstGeom>
              <a:noFill/>
              <a:ln w="9525">
                <a:solidFill>
                  <a:srgbClr val="000000"/>
                </a:solidFill>
                <a:round/>
                <a:headEnd/>
                <a:tailEnd/>
              </a:ln>
            </xdr:spPr>
          </xdr:sp>
          <xdr:sp macro="" textlink="">
            <xdr:nvSpPr>
              <xdr:cNvPr id="13" name="Line 427">
                <a:extLst>
                  <a:ext uri="{FF2B5EF4-FFF2-40B4-BE49-F238E27FC236}">
                    <a16:creationId xmlns:a16="http://schemas.microsoft.com/office/drawing/2014/main" id="{00000000-0008-0000-0000-00000D000000}"/>
                  </a:ext>
                </a:extLst>
              </xdr:cNvPr>
              <xdr:cNvSpPr>
                <a:spLocks noChangeShapeType="1"/>
              </xdr:cNvSpPr>
            </xdr:nvSpPr>
            <xdr:spPr bwMode="auto">
              <a:xfrm>
                <a:off x="5343525" y="14458950"/>
                <a:ext cx="0" cy="342900"/>
              </a:xfrm>
              <a:prstGeom prst="line">
                <a:avLst/>
              </a:prstGeom>
              <a:noFill/>
              <a:ln w="9525">
                <a:solidFill>
                  <a:srgbClr val="000000"/>
                </a:solidFill>
                <a:round/>
                <a:headEnd/>
                <a:tailEnd/>
              </a:ln>
            </xdr:spPr>
          </xdr:sp>
          <xdr:sp macro="" textlink="">
            <xdr:nvSpPr>
              <xdr:cNvPr id="14" name="Line 429">
                <a:extLst>
                  <a:ext uri="{FF2B5EF4-FFF2-40B4-BE49-F238E27FC236}">
                    <a16:creationId xmlns:a16="http://schemas.microsoft.com/office/drawing/2014/main" id="{00000000-0008-0000-0000-00000E000000}"/>
                  </a:ext>
                </a:extLst>
              </xdr:cNvPr>
              <xdr:cNvSpPr>
                <a:spLocks noChangeShapeType="1"/>
              </xdr:cNvSpPr>
            </xdr:nvSpPr>
            <xdr:spPr bwMode="auto">
              <a:xfrm>
                <a:off x="5724525" y="14458950"/>
                <a:ext cx="0" cy="342900"/>
              </a:xfrm>
              <a:prstGeom prst="line">
                <a:avLst/>
              </a:prstGeom>
              <a:noFill/>
              <a:ln w="9525">
                <a:solidFill>
                  <a:srgbClr val="000000"/>
                </a:solidFill>
                <a:round/>
                <a:headEnd/>
                <a:tailEnd/>
              </a:ln>
            </xdr:spPr>
          </xdr:sp>
          <xdr:sp macro="" textlink="">
            <xdr:nvSpPr>
              <xdr:cNvPr id="15" name="Line 430">
                <a:extLst>
                  <a:ext uri="{FF2B5EF4-FFF2-40B4-BE49-F238E27FC236}">
                    <a16:creationId xmlns:a16="http://schemas.microsoft.com/office/drawing/2014/main" id="{00000000-0008-0000-0000-00000F000000}"/>
                  </a:ext>
                </a:extLst>
              </xdr:cNvPr>
              <xdr:cNvSpPr>
                <a:spLocks noChangeShapeType="1"/>
              </xdr:cNvSpPr>
            </xdr:nvSpPr>
            <xdr:spPr bwMode="auto">
              <a:xfrm>
                <a:off x="5943600" y="14344650"/>
                <a:ext cx="0" cy="342900"/>
              </a:xfrm>
              <a:prstGeom prst="line">
                <a:avLst/>
              </a:prstGeom>
              <a:noFill/>
              <a:ln w="9525">
                <a:solidFill>
                  <a:srgbClr val="000000"/>
                </a:solidFill>
                <a:round/>
                <a:headEnd/>
                <a:tailEnd/>
              </a:ln>
            </xdr:spPr>
          </xdr:sp>
          <xdr:sp macro="" textlink="">
            <xdr:nvSpPr>
              <xdr:cNvPr id="16" name="Line 433">
                <a:extLst>
                  <a:ext uri="{FF2B5EF4-FFF2-40B4-BE49-F238E27FC236}">
                    <a16:creationId xmlns:a16="http://schemas.microsoft.com/office/drawing/2014/main" id="{00000000-0008-0000-0000-000010000000}"/>
                  </a:ext>
                </a:extLst>
              </xdr:cNvPr>
              <xdr:cNvSpPr>
                <a:spLocks noChangeShapeType="1"/>
              </xdr:cNvSpPr>
            </xdr:nvSpPr>
            <xdr:spPr bwMode="auto">
              <a:xfrm rot="-5400000">
                <a:off x="5715000" y="14916150"/>
                <a:ext cx="228600" cy="0"/>
              </a:xfrm>
              <a:prstGeom prst="line">
                <a:avLst/>
              </a:prstGeom>
              <a:noFill/>
              <a:ln w="9525">
                <a:solidFill>
                  <a:srgbClr val="000000"/>
                </a:solidFill>
                <a:round/>
                <a:headEnd/>
                <a:tailEnd/>
              </a:ln>
            </xdr:spPr>
          </xdr:sp>
          <xdr:sp macro="" textlink="">
            <xdr:nvSpPr>
              <xdr:cNvPr id="17" name="Line 434">
                <a:extLst>
                  <a:ext uri="{FF2B5EF4-FFF2-40B4-BE49-F238E27FC236}">
                    <a16:creationId xmlns:a16="http://schemas.microsoft.com/office/drawing/2014/main" id="{00000000-0008-0000-0000-000011000000}"/>
                  </a:ext>
                </a:extLst>
              </xdr:cNvPr>
              <xdr:cNvSpPr>
                <a:spLocks noChangeShapeType="1"/>
              </xdr:cNvSpPr>
            </xdr:nvSpPr>
            <xdr:spPr bwMode="auto">
              <a:xfrm>
                <a:off x="5724525" y="14792325"/>
                <a:ext cx="228600" cy="0"/>
              </a:xfrm>
              <a:prstGeom prst="line">
                <a:avLst/>
              </a:prstGeom>
              <a:noFill/>
              <a:ln w="9525">
                <a:solidFill>
                  <a:srgbClr val="000000"/>
                </a:solidFill>
                <a:round/>
                <a:headEnd/>
                <a:tailEnd/>
              </a:ln>
            </xdr:spPr>
          </xdr:sp>
          <xdr:sp macro="" textlink="">
            <xdr:nvSpPr>
              <xdr:cNvPr id="18" name="Line 435">
                <a:extLst>
                  <a:ext uri="{FF2B5EF4-FFF2-40B4-BE49-F238E27FC236}">
                    <a16:creationId xmlns:a16="http://schemas.microsoft.com/office/drawing/2014/main" id="{00000000-0008-0000-0000-000012000000}"/>
                  </a:ext>
                </a:extLst>
              </xdr:cNvPr>
              <xdr:cNvSpPr>
                <a:spLocks noChangeShapeType="1"/>
              </xdr:cNvSpPr>
            </xdr:nvSpPr>
            <xdr:spPr bwMode="auto">
              <a:xfrm rot="-5400000">
                <a:off x="5105400" y="14916150"/>
                <a:ext cx="228600" cy="0"/>
              </a:xfrm>
              <a:prstGeom prst="line">
                <a:avLst/>
              </a:prstGeom>
              <a:noFill/>
              <a:ln w="9525">
                <a:solidFill>
                  <a:srgbClr val="000000"/>
                </a:solidFill>
                <a:round/>
                <a:headEnd/>
                <a:tailEnd/>
              </a:ln>
            </xdr:spPr>
          </xdr:sp>
          <xdr:sp macro="" textlink="">
            <xdr:nvSpPr>
              <xdr:cNvPr id="19" name="Line 436">
                <a:extLst>
                  <a:ext uri="{FF2B5EF4-FFF2-40B4-BE49-F238E27FC236}">
                    <a16:creationId xmlns:a16="http://schemas.microsoft.com/office/drawing/2014/main" id="{00000000-0008-0000-0000-000013000000}"/>
                  </a:ext>
                </a:extLst>
              </xdr:cNvPr>
              <xdr:cNvSpPr>
                <a:spLocks noChangeShapeType="1"/>
              </xdr:cNvSpPr>
            </xdr:nvSpPr>
            <xdr:spPr bwMode="auto">
              <a:xfrm>
                <a:off x="5238750" y="15020925"/>
                <a:ext cx="571500" cy="0"/>
              </a:xfrm>
              <a:prstGeom prst="line">
                <a:avLst/>
              </a:prstGeom>
              <a:noFill/>
              <a:ln w="9525">
                <a:solidFill>
                  <a:srgbClr val="000000"/>
                </a:solidFill>
                <a:round/>
                <a:headEnd/>
                <a:tailEnd/>
              </a:ln>
            </xdr:spPr>
          </xdr:sp>
          <xdr:sp macro="" textlink="">
            <xdr:nvSpPr>
              <xdr:cNvPr id="20" name="Line 437">
                <a:extLst>
                  <a:ext uri="{FF2B5EF4-FFF2-40B4-BE49-F238E27FC236}">
                    <a16:creationId xmlns:a16="http://schemas.microsoft.com/office/drawing/2014/main" id="{00000000-0008-0000-0000-000014000000}"/>
                  </a:ext>
                </a:extLst>
              </xdr:cNvPr>
              <xdr:cNvSpPr>
                <a:spLocks noChangeShapeType="1"/>
              </xdr:cNvSpPr>
            </xdr:nvSpPr>
            <xdr:spPr bwMode="auto">
              <a:xfrm rot="2265785">
                <a:off x="5943600" y="14573250"/>
                <a:ext cx="0" cy="114300"/>
              </a:xfrm>
              <a:prstGeom prst="line">
                <a:avLst/>
              </a:prstGeom>
              <a:noFill/>
              <a:ln w="9525">
                <a:solidFill>
                  <a:srgbClr val="000000"/>
                </a:solidFill>
                <a:round/>
                <a:headEnd/>
                <a:tailEnd/>
              </a:ln>
            </xdr:spPr>
          </xdr:sp>
          <xdr:sp macro="" textlink="">
            <xdr:nvSpPr>
              <xdr:cNvPr id="21" name="Line 438">
                <a:extLst>
                  <a:ext uri="{FF2B5EF4-FFF2-40B4-BE49-F238E27FC236}">
                    <a16:creationId xmlns:a16="http://schemas.microsoft.com/office/drawing/2014/main" id="{00000000-0008-0000-0000-000015000000}"/>
                  </a:ext>
                </a:extLst>
              </xdr:cNvPr>
              <xdr:cNvSpPr>
                <a:spLocks noChangeShapeType="1"/>
              </xdr:cNvSpPr>
            </xdr:nvSpPr>
            <xdr:spPr bwMode="auto">
              <a:xfrm rot="2265785">
                <a:off x="5724525" y="14573250"/>
                <a:ext cx="0" cy="114300"/>
              </a:xfrm>
              <a:prstGeom prst="line">
                <a:avLst/>
              </a:prstGeom>
              <a:noFill/>
              <a:ln w="9525">
                <a:solidFill>
                  <a:srgbClr val="000000"/>
                </a:solidFill>
                <a:round/>
                <a:headEnd/>
                <a:tailEnd/>
              </a:ln>
            </xdr:spPr>
          </xdr:sp>
          <xdr:sp macro="" textlink="">
            <xdr:nvSpPr>
              <xdr:cNvPr id="22" name="Line 439">
                <a:extLst>
                  <a:ext uri="{FF2B5EF4-FFF2-40B4-BE49-F238E27FC236}">
                    <a16:creationId xmlns:a16="http://schemas.microsoft.com/office/drawing/2014/main" id="{00000000-0008-0000-0000-000016000000}"/>
                  </a:ext>
                </a:extLst>
              </xdr:cNvPr>
              <xdr:cNvSpPr>
                <a:spLocks noChangeShapeType="1"/>
              </xdr:cNvSpPr>
            </xdr:nvSpPr>
            <xdr:spPr bwMode="auto">
              <a:xfrm rot="2265785">
                <a:off x="5343525" y="14573250"/>
                <a:ext cx="0" cy="114300"/>
              </a:xfrm>
              <a:prstGeom prst="line">
                <a:avLst/>
              </a:prstGeom>
              <a:noFill/>
              <a:ln w="9525">
                <a:solidFill>
                  <a:srgbClr val="000000"/>
                </a:solidFill>
                <a:round/>
                <a:headEnd/>
                <a:tailEnd/>
              </a:ln>
            </xdr:spPr>
          </xdr:sp>
          <xdr:sp macro="" textlink="">
            <xdr:nvSpPr>
              <xdr:cNvPr id="23" name="Line 440">
                <a:extLst>
                  <a:ext uri="{FF2B5EF4-FFF2-40B4-BE49-F238E27FC236}">
                    <a16:creationId xmlns:a16="http://schemas.microsoft.com/office/drawing/2014/main" id="{00000000-0008-0000-0000-000017000000}"/>
                  </a:ext>
                </a:extLst>
              </xdr:cNvPr>
              <xdr:cNvSpPr>
                <a:spLocks noChangeShapeType="1"/>
              </xdr:cNvSpPr>
            </xdr:nvSpPr>
            <xdr:spPr bwMode="auto">
              <a:xfrm rot="2265785">
                <a:off x="5105400" y="14563725"/>
                <a:ext cx="0" cy="114300"/>
              </a:xfrm>
              <a:prstGeom prst="line">
                <a:avLst/>
              </a:prstGeom>
              <a:noFill/>
              <a:ln w="9525">
                <a:solidFill>
                  <a:srgbClr val="000000"/>
                </a:solidFill>
                <a:round/>
                <a:headEnd/>
                <a:tailEnd/>
              </a:ln>
            </xdr:spPr>
          </xdr:sp>
          <xdr:sp macro="" textlink="">
            <xdr:nvSpPr>
              <xdr:cNvPr id="24" name="Line 441">
                <a:extLst>
                  <a:ext uri="{FF2B5EF4-FFF2-40B4-BE49-F238E27FC236}">
                    <a16:creationId xmlns:a16="http://schemas.microsoft.com/office/drawing/2014/main" id="{00000000-0008-0000-0000-000018000000}"/>
                  </a:ext>
                </a:extLst>
              </xdr:cNvPr>
              <xdr:cNvSpPr>
                <a:spLocks noChangeShapeType="1"/>
              </xdr:cNvSpPr>
            </xdr:nvSpPr>
            <xdr:spPr bwMode="auto">
              <a:xfrm rot="2265785">
                <a:off x="5534025" y="14973300"/>
                <a:ext cx="0" cy="114300"/>
              </a:xfrm>
              <a:prstGeom prst="line">
                <a:avLst/>
              </a:prstGeom>
              <a:noFill/>
              <a:ln w="9525">
                <a:solidFill>
                  <a:srgbClr val="000000"/>
                </a:solidFill>
                <a:round/>
                <a:headEnd/>
                <a:tailEnd/>
              </a:ln>
            </xdr:spPr>
          </xdr:sp>
          <xdr:sp macro="" textlink="">
            <xdr:nvSpPr>
              <xdr:cNvPr id="25" name="Line 442">
                <a:extLst>
                  <a:ext uri="{FF2B5EF4-FFF2-40B4-BE49-F238E27FC236}">
                    <a16:creationId xmlns:a16="http://schemas.microsoft.com/office/drawing/2014/main" id="{00000000-0008-0000-0000-000019000000}"/>
                  </a:ext>
                </a:extLst>
              </xdr:cNvPr>
              <xdr:cNvSpPr>
                <a:spLocks noChangeShapeType="1"/>
              </xdr:cNvSpPr>
            </xdr:nvSpPr>
            <xdr:spPr bwMode="auto">
              <a:xfrm rot="-3134215">
                <a:off x="5543550" y="14963775"/>
                <a:ext cx="0" cy="114300"/>
              </a:xfrm>
              <a:prstGeom prst="line">
                <a:avLst/>
              </a:prstGeom>
              <a:noFill/>
              <a:ln w="9525">
                <a:solidFill>
                  <a:srgbClr val="000000"/>
                </a:solidFill>
                <a:round/>
                <a:headEnd/>
                <a:tailEnd/>
              </a:ln>
            </xdr:spPr>
          </xdr:sp>
        </xdr:grpSp>
      </xdr:grpSp>
    </xdr:grpSp>
    <xdr:clientData/>
  </xdr:twoCellAnchor>
  <xdr:twoCellAnchor>
    <xdr:from>
      <xdr:col>3</xdr:col>
      <xdr:colOff>609597</xdr:colOff>
      <xdr:row>28</xdr:row>
      <xdr:rowOff>147639</xdr:rowOff>
    </xdr:from>
    <xdr:to>
      <xdr:col>3</xdr:col>
      <xdr:colOff>1676397</xdr:colOff>
      <xdr:row>28</xdr:row>
      <xdr:rowOff>866774</xdr:rowOff>
    </xdr:to>
    <xdr:grpSp>
      <xdr:nvGrpSpPr>
        <xdr:cNvPr id="26" name="Group 25">
          <a:extLst>
            <a:ext uri="{FF2B5EF4-FFF2-40B4-BE49-F238E27FC236}">
              <a16:creationId xmlns:a16="http://schemas.microsoft.com/office/drawing/2014/main" id="{00000000-0008-0000-0000-00001A000000}"/>
            </a:ext>
          </a:extLst>
        </xdr:cNvPr>
        <xdr:cNvGrpSpPr/>
      </xdr:nvGrpSpPr>
      <xdr:grpSpPr>
        <a:xfrm>
          <a:off x="5671454" y="14598425"/>
          <a:ext cx="1066800" cy="719135"/>
          <a:chOff x="7181850" y="14297025"/>
          <a:chExt cx="1066800" cy="723900"/>
        </a:xfrm>
      </xdr:grpSpPr>
      <xdr:sp macro="" textlink="">
        <xdr:nvSpPr>
          <xdr:cNvPr id="27" name="Line 443">
            <a:extLst>
              <a:ext uri="{FF2B5EF4-FFF2-40B4-BE49-F238E27FC236}">
                <a16:creationId xmlns:a16="http://schemas.microsoft.com/office/drawing/2014/main" id="{00000000-0008-0000-0000-00001B000000}"/>
              </a:ext>
            </a:extLst>
          </xdr:cNvPr>
          <xdr:cNvSpPr>
            <a:spLocks noChangeShapeType="1"/>
          </xdr:cNvSpPr>
        </xdr:nvSpPr>
        <xdr:spPr bwMode="auto">
          <a:xfrm flipV="1">
            <a:off x="7191375" y="14316075"/>
            <a:ext cx="457200" cy="0"/>
          </a:xfrm>
          <a:prstGeom prst="line">
            <a:avLst/>
          </a:prstGeom>
          <a:noFill/>
          <a:ln w="28575">
            <a:solidFill>
              <a:srgbClr val="000000"/>
            </a:solidFill>
            <a:round/>
            <a:headEnd/>
            <a:tailEnd/>
          </a:ln>
        </xdr:spPr>
      </xdr:sp>
      <xdr:sp macro="" textlink="">
        <xdr:nvSpPr>
          <xdr:cNvPr id="28" name="Line 444">
            <a:extLst>
              <a:ext uri="{FF2B5EF4-FFF2-40B4-BE49-F238E27FC236}">
                <a16:creationId xmlns:a16="http://schemas.microsoft.com/office/drawing/2014/main" id="{00000000-0008-0000-0000-00001C000000}"/>
              </a:ext>
            </a:extLst>
          </xdr:cNvPr>
          <xdr:cNvSpPr>
            <a:spLocks noChangeShapeType="1"/>
          </xdr:cNvSpPr>
        </xdr:nvSpPr>
        <xdr:spPr bwMode="auto">
          <a:xfrm flipV="1">
            <a:off x="7181850" y="14449425"/>
            <a:ext cx="457200" cy="0"/>
          </a:xfrm>
          <a:prstGeom prst="line">
            <a:avLst/>
          </a:prstGeom>
          <a:noFill/>
          <a:ln w="28575">
            <a:solidFill>
              <a:srgbClr val="000000"/>
            </a:solidFill>
            <a:round/>
            <a:headEnd/>
            <a:tailEnd/>
          </a:ln>
        </xdr:spPr>
      </xdr:sp>
      <xdr:sp macro="" textlink="">
        <xdr:nvSpPr>
          <xdr:cNvPr id="29" name="Line 445">
            <a:extLst>
              <a:ext uri="{FF2B5EF4-FFF2-40B4-BE49-F238E27FC236}">
                <a16:creationId xmlns:a16="http://schemas.microsoft.com/office/drawing/2014/main" id="{00000000-0008-0000-0000-00001D000000}"/>
              </a:ext>
            </a:extLst>
          </xdr:cNvPr>
          <xdr:cNvSpPr>
            <a:spLocks noChangeShapeType="1"/>
          </xdr:cNvSpPr>
        </xdr:nvSpPr>
        <xdr:spPr bwMode="auto">
          <a:xfrm flipV="1">
            <a:off x="7791450" y="14316075"/>
            <a:ext cx="457200" cy="0"/>
          </a:xfrm>
          <a:prstGeom prst="line">
            <a:avLst/>
          </a:prstGeom>
          <a:noFill/>
          <a:ln w="28575">
            <a:solidFill>
              <a:srgbClr val="000000"/>
            </a:solidFill>
            <a:round/>
            <a:headEnd/>
            <a:tailEnd/>
          </a:ln>
        </xdr:spPr>
      </xdr:sp>
      <xdr:sp macro="" textlink="">
        <xdr:nvSpPr>
          <xdr:cNvPr id="30" name="Line 446">
            <a:extLst>
              <a:ext uri="{FF2B5EF4-FFF2-40B4-BE49-F238E27FC236}">
                <a16:creationId xmlns:a16="http://schemas.microsoft.com/office/drawing/2014/main" id="{00000000-0008-0000-0000-00001E000000}"/>
              </a:ext>
            </a:extLst>
          </xdr:cNvPr>
          <xdr:cNvSpPr>
            <a:spLocks noChangeShapeType="1"/>
          </xdr:cNvSpPr>
        </xdr:nvSpPr>
        <xdr:spPr bwMode="auto">
          <a:xfrm flipV="1">
            <a:off x="7781925" y="14449425"/>
            <a:ext cx="457200" cy="0"/>
          </a:xfrm>
          <a:prstGeom prst="line">
            <a:avLst/>
          </a:prstGeom>
          <a:noFill/>
          <a:ln w="28575">
            <a:solidFill>
              <a:srgbClr val="000000"/>
            </a:solidFill>
            <a:round/>
            <a:headEnd/>
            <a:tailEnd/>
          </a:ln>
        </xdr:spPr>
      </xdr:sp>
      <xdr:sp macro="" textlink="">
        <xdr:nvSpPr>
          <xdr:cNvPr id="31" name="Line 447">
            <a:extLst>
              <a:ext uri="{FF2B5EF4-FFF2-40B4-BE49-F238E27FC236}">
                <a16:creationId xmlns:a16="http://schemas.microsoft.com/office/drawing/2014/main" id="{00000000-0008-0000-0000-00001F000000}"/>
              </a:ext>
            </a:extLst>
          </xdr:cNvPr>
          <xdr:cNvSpPr>
            <a:spLocks noChangeShapeType="1"/>
          </xdr:cNvSpPr>
        </xdr:nvSpPr>
        <xdr:spPr bwMode="auto">
          <a:xfrm>
            <a:off x="7534275" y="14316075"/>
            <a:ext cx="0" cy="342900"/>
          </a:xfrm>
          <a:prstGeom prst="line">
            <a:avLst/>
          </a:prstGeom>
          <a:noFill/>
          <a:ln w="9525">
            <a:solidFill>
              <a:srgbClr val="000000"/>
            </a:solidFill>
            <a:round/>
            <a:headEnd/>
            <a:tailEnd/>
          </a:ln>
        </xdr:spPr>
      </xdr:sp>
      <xdr:sp macro="" textlink="">
        <xdr:nvSpPr>
          <xdr:cNvPr id="32" name="Line 448">
            <a:extLst>
              <a:ext uri="{FF2B5EF4-FFF2-40B4-BE49-F238E27FC236}">
                <a16:creationId xmlns:a16="http://schemas.microsoft.com/office/drawing/2014/main" id="{00000000-0008-0000-0000-000020000000}"/>
              </a:ext>
            </a:extLst>
          </xdr:cNvPr>
          <xdr:cNvSpPr>
            <a:spLocks noChangeShapeType="1"/>
          </xdr:cNvSpPr>
        </xdr:nvSpPr>
        <xdr:spPr bwMode="auto">
          <a:xfrm>
            <a:off x="7343775" y="14658975"/>
            <a:ext cx="0" cy="342900"/>
          </a:xfrm>
          <a:prstGeom prst="line">
            <a:avLst/>
          </a:prstGeom>
          <a:noFill/>
          <a:ln w="9525">
            <a:solidFill>
              <a:srgbClr val="000000"/>
            </a:solidFill>
            <a:round/>
            <a:headEnd/>
            <a:tailEnd/>
          </a:ln>
        </xdr:spPr>
      </xdr:sp>
      <xdr:sp macro="" textlink="">
        <xdr:nvSpPr>
          <xdr:cNvPr id="33" name="Line 449">
            <a:extLst>
              <a:ext uri="{FF2B5EF4-FFF2-40B4-BE49-F238E27FC236}">
                <a16:creationId xmlns:a16="http://schemas.microsoft.com/office/drawing/2014/main" id="{00000000-0008-0000-0000-000021000000}"/>
              </a:ext>
            </a:extLst>
          </xdr:cNvPr>
          <xdr:cNvSpPr>
            <a:spLocks noChangeShapeType="1"/>
          </xdr:cNvSpPr>
        </xdr:nvSpPr>
        <xdr:spPr bwMode="auto">
          <a:xfrm>
            <a:off x="7896225" y="14430375"/>
            <a:ext cx="0" cy="342900"/>
          </a:xfrm>
          <a:prstGeom prst="line">
            <a:avLst/>
          </a:prstGeom>
          <a:noFill/>
          <a:ln w="9525">
            <a:solidFill>
              <a:srgbClr val="000000"/>
            </a:solidFill>
            <a:round/>
            <a:headEnd/>
            <a:tailEnd/>
          </a:ln>
        </xdr:spPr>
      </xdr:sp>
      <xdr:sp macro="" textlink="">
        <xdr:nvSpPr>
          <xdr:cNvPr id="34" name="Line 450">
            <a:extLst>
              <a:ext uri="{FF2B5EF4-FFF2-40B4-BE49-F238E27FC236}">
                <a16:creationId xmlns:a16="http://schemas.microsoft.com/office/drawing/2014/main" id="{00000000-0008-0000-0000-000022000000}"/>
              </a:ext>
            </a:extLst>
          </xdr:cNvPr>
          <xdr:cNvSpPr>
            <a:spLocks noChangeShapeType="1"/>
          </xdr:cNvSpPr>
        </xdr:nvSpPr>
        <xdr:spPr bwMode="auto">
          <a:xfrm>
            <a:off x="7534275" y="14420850"/>
            <a:ext cx="0" cy="342900"/>
          </a:xfrm>
          <a:prstGeom prst="line">
            <a:avLst/>
          </a:prstGeom>
          <a:noFill/>
          <a:ln w="9525">
            <a:solidFill>
              <a:srgbClr val="000000"/>
            </a:solidFill>
            <a:round/>
            <a:headEnd/>
            <a:tailEnd/>
          </a:ln>
        </xdr:spPr>
      </xdr:sp>
      <xdr:sp macro="" textlink="">
        <xdr:nvSpPr>
          <xdr:cNvPr id="35" name="Line 451">
            <a:extLst>
              <a:ext uri="{FF2B5EF4-FFF2-40B4-BE49-F238E27FC236}">
                <a16:creationId xmlns:a16="http://schemas.microsoft.com/office/drawing/2014/main" id="{00000000-0008-0000-0000-000023000000}"/>
              </a:ext>
            </a:extLst>
          </xdr:cNvPr>
          <xdr:cNvSpPr>
            <a:spLocks noChangeShapeType="1"/>
          </xdr:cNvSpPr>
        </xdr:nvSpPr>
        <xdr:spPr bwMode="auto">
          <a:xfrm>
            <a:off x="7667625" y="14763750"/>
            <a:ext cx="228600" cy="0"/>
          </a:xfrm>
          <a:prstGeom prst="line">
            <a:avLst/>
          </a:prstGeom>
          <a:noFill/>
          <a:ln w="9525">
            <a:solidFill>
              <a:srgbClr val="000000"/>
            </a:solidFill>
            <a:round/>
            <a:headEnd/>
            <a:tailEnd/>
          </a:ln>
        </xdr:spPr>
      </xdr:sp>
      <xdr:sp macro="" textlink="">
        <xdr:nvSpPr>
          <xdr:cNvPr id="36" name="Line 452">
            <a:extLst>
              <a:ext uri="{FF2B5EF4-FFF2-40B4-BE49-F238E27FC236}">
                <a16:creationId xmlns:a16="http://schemas.microsoft.com/office/drawing/2014/main" id="{00000000-0008-0000-0000-000024000000}"/>
              </a:ext>
            </a:extLst>
          </xdr:cNvPr>
          <xdr:cNvSpPr>
            <a:spLocks noChangeShapeType="1"/>
          </xdr:cNvSpPr>
        </xdr:nvSpPr>
        <xdr:spPr bwMode="auto">
          <a:xfrm>
            <a:off x="7534275" y="14763750"/>
            <a:ext cx="228600" cy="0"/>
          </a:xfrm>
          <a:prstGeom prst="line">
            <a:avLst/>
          </a:prstGeom>
          <a:noFill/>
          <a:ln w="9525">
            <a:solidFill>
              <a:srgbClr val="000000"/>
            </a:solidFill>
            <a:round/>
            <a:headEnd/>
            <a:tailEnd/>
          </a:ln>
        </xdr:spPr>
      </xdr:sp>
      <xdr:sp macro="" textlink="">
        <xdr:nvSpPr>
          <xdr:cNvPr id="37" name="Line 453">
            <a:extLst>
              <a:ext uri="{FF2B5EF4-FFF2-40B4-BE49-F238E27FC236}">
                <a16:creationId xmlns:a16="http://schemas.microsoft.com/office/drawing/2014/main" id="{00000000-0008-0000-0000-000025000000}"/>
              </a:ext>
            </a:extLst>
          </xdr:cNvPr>
          <xdr:cNvSpPr>
            <a:spLocks noChangeShapeType="1"/>
          </xdr:cNvSpPr>
        </xdr:nvSpPr>
        <xdr:spPr bwMode="auto">
          <a:xfrm>
            <a:off x="7353300" y="15001875"/>
            <a:ext cx="714375" cy="9525"/>
          </a:xfrm>
          <a:prstGeom prst="line">
            <a:avLst/>
          </a:prstGeom>
          <a:noFill/>
          <a:ln w="9525">
            <a:solidFill>
              <a:srgbClr val="000000"/>
            </a:solidFill>
            <a:round/>
            <a:headEnd/>
            <a:tailEnd/>
          </a:ln>
        </xdr:spPr>
      </xdr:sp>
      <xdr:sp macro="" textlink="">
        <xdr:nvSpPr>
          <xdr:cNvPr id="38" name="Line 454">
            <a:extLst>
              <a:ext uri="{FF2B5EF4-FFF2-40B4-BE49-F238E27FC236}">
                <a16:creationId xmlns:a16="http://schemas.microsoft.com/office/drawing/2014/main" id="{00000000-0008-0000-0000-000026000000}"/>
              </a:ext>
            </a:extLst>
          </xdr:cNvPr>
          <xdr:cNvSpPr>
            <a:spLocks noChangeShapeType="1"/>
          </xdr:cNvSpPr>
        </xdr:nvSpPr>
        <xdr:spPr bwMode="auto">
          <a:xfrm rot="-5400000">
            <a:off x="7229475" y="14563725"/>
            <a:ext cx="228600" cy="0"/>
          </a:xfrm>
          <a:prstGeom prst="line">
            <a:avLst/>
          </a:prstGeom>
          <a:noFill/>
          <a:ln w="9525">
            <a:solidFill>
              <a:srgbClr val="000000"/>
            </a:solidFill>
            <a:round/>
            <a:headEnd/>
            <a:tailEnd/>
          </a:ln>
        </xdr:spPr>
      </xdr:sp>
      <xdr:sp macro="" textlink="">
        <xdr:nvSpPr>
          <xdr:cNvPr id="39" name="Line 455">
            <a:extLst>
              <a:ext uri="{FF2B5EF4-FFF2-40B4-BE49-F238E27FC236}">
                <a16:creationId xmlns:a16="http://schemas.microsoft.com/office/drawing/2014/main" id="{00000000-0008-0000-0000-000027000000}"/>
              </a:ext>
            </a:extLst>
          </xdr:cNvPr>
          <xdr:cNvSpPr>
            <a:spLocks noChangeShapeType="1"/>
          </xdr:cNvSpPr>
        </xdr:nvSpPr>
        <xdr:spPr bwMode="auto">
          <a:xfrm rot="-5400000">
            <a:off x="7591425" y="14887575"/>
            <a:ext cx="228600" cy="0"/>
          </a:xfrm>
          <a:prstGeom prst="line">
            <a:avLst/>
          </a:prstGeom>
          <a:noFill/>
          <a:ln w="9525">
            <a:solidFill>
              <a:srgbClr val="000000"/>
            </a:solidFill>
            <a:round/>
            <a:headEnd/>
            <a:tailEnd/>
          </a:ln>
        </xdr:spPr>
      </xdr:sp>
      <xdr:sp macro="" textlink="">
        <xdr:nvSpPr>
          <xdr:cNvPr id="40" name="Line 456">
            <a:extLst>
              <a:ext uri="{FF2B5EF4-FFF2-40B4-BE49-F238E27FC236}">
                <a16:creationId xmlns:a16="http://schemas.microsoft.com/office/drawing/2014/main" id="{00000000-0008-0000-0000-000028000000}"/>
              </a:ext>
            </a:extLst>
          </xdr:cNvPr>
          <xdr:cNvSpPr>
            <a:spLocks noChangeShapeType="1"/>
          </xdr:cNvSpPr>
        </xdr:nvSpPr>
        <xdr:spPr bwMode="auto">
          <a:xfrm rot="-5400000">
            <a:off x="7720013" y="14654212"/>
            <a:ext cx="723900" cy="9525"/>
          </a:xfrm>
          <a:prstGeom prst="line">
            <a:avLst/>
          </a:prstGeom>
          <a:noFill/>
          <a:ln w="9525">
            <a:solidFill>
              <a:srgbClr val="000000"/>
            </a:solidFill>
            <a:round/>
            <a:headEnd/>
            <a:tailEnd/>
          </a:ln>
        </xdr:spPr>
      </xdr:sp>
      <xdr:sp macro="" textlink="">
        <xdr:nvSpPr>
          <xdr:cNvPr id="41" name="Line 457">
            <a:extLst>
              <a:ext uri="{FF2B5EF4-FFF2-40B4-BE49-F238E27FC236}">
                <a16:creationId xmlns:a16="http://schemas.microsoft.com/office/drawing/2014/main" id="{00000000-0008-0000-0000-000029000000}"/>
              </a:ext>
            </a:extLst>
          </xdr:cNvPr>
          <xdr:cNvSpPr>
            <a:spLocks noChangeShapeType="1"/>
          </xdr:cNvSpPr>
        </xdr:nvSpPr>
        <xdr:spPr bwMode="auto">
          <a:xfrm rot="2265785">
            <a:off x="8077200" y="14544675"/>
            <a:ext cx="0" cy="114300"/>
          </a:xfrm>
          <a:prstGeom prst="line">
            <a:avLst/>
          </a:prstGeom>
          <a:noFill/>
          <a:ln w="9525">
            <a:solidFill>
              <a:srgbClr val="000000"/>
            </a:solidFill>
            <a:round/>
            <a:headEnd/>
            <a:tailEnd/>
          </a:ln>
        </xdr:spPr>
      </xdr:sp>
      <xdr:sp macro="" textlink="">
        <xdr:nvSpPr>
          <xdr:cNvPr id="42" name="Line 458">
            <a:extLst>
              <a:ext uri="{FF2B5EF4-FFF2-40B4-BE49-F238E27FC236}">
                <a16:creationId xmlns:a16="http://schemas.microsoft.com/office/drawing/2014/main" id="{00000000-0008-0000-0000-00002A000000}"/>
              </a:ext>
            </a:extLst>
          </xdr:cNvPr>
          <xdr:cNvSpPr>
            <a:spLocks noChangeShapeType="1"/>
          </xdr:cNvSpPr>
        </xdr:nvSpPr>
        <xdr:spPr bwMode="auto">
          <a:xfrm rot="2265785">
            <a:off x="7896225" y="14544675"/>
            <a:ext cx="0" cy="114300"/>
          </a:xfrm>
          <a:prstGeom prst="line">
            <a:avLst/>
          </a:prstGeom>
          <a:noFill/>
          <a:ln w="9525">
            <a:solidFill>
              <a:srgbClr val="000000"/>
            </a:solidFill>
            <a:round/>
            <a:headEnd/>
            <a:tailEnd/>
          </a:ln>
        </xdr:spPr>
      </xdr:sp>
      <xdr:sp macro="" textlink="">
        <xdr:nvSpPr>
          <xdr:cNvPr id="43" name="Line 459">
            <a:extLst>
              <a:ext uri="{FF2B5EF4-FFF2-40B4-BE49-F238E27FC236}">
                <a16:creationId xmlns:a16="http://schemas.microsoft.com/office/drawing/2014/main" id="{00000000-0008-0000-0000-00002B000000}"/>
              </a:ext>
            </a:extLst>
          </xdr:cNvPr>
          <xdr:cNvSpPr>
            <a:spLocks noChangeShapeType="1"/>
          </xdr:cNvSpPr>
        </xdr:nvSpPr>
        <xdr:spPr bwMode="auto">
          <a:xfrm rot="2265785">
            <a:off x="7534275" y="14544675"/>
            <a:ext cx="0" cy="114300"/>
          </a:xfrm>
          <a:prstGeom prst="line">
            <a:avLst/>
          </a:prstGeom>
          <a:noFill/>
          <a:ln w="9525">
            <a:solidFill>
              <a:srgbClr val="000000"/>
            </a:solidFill>
            <a:round/>
            <a:headEnd/>
            <a:tailEnd/>
          </a:ln>
        </xdr:spPr>
      </xdr:sp>
      <xdr:sp macro="" textlink="">
        <xdr:nvSpPr>
          <xdr:cNvPr id="44" name="Line 460">
            <a:extLst>
              <a:ext uri="{FF2B5EF4-FFF2-40B4-BE49-F238E27FC236}">
                <a16:creationId xmlns:a16="http://schemas.microsoft.com/office/drawing/2014/main" id="{00000000-0008-0000-0000-00002C000000}"/>
              </a:ext>
            </a:extLst>
          </xdr:cNvPr>
          <xdr:cNvSpPr>
            <a:spLocks noChangeShapeType="1"/>
          </xdr:cNvSpPr>
        </xdr:nvSpPr>
        <xdr:spPr bwMode="auto">
          <a:xfrm rot="2265785">
            <a:off x="7343775" y="14544675"/>
            <a:ext cx="0" cy="114300"/>
          </a:xfrm>
          <a:prstGeom prst="line">
            <a:avLst/>
          </a:prstGeom>
          <a:noFill/>
          <a:ln w="9525">
            <a:solidFill>
              <a:srgbClr val="000000"/>
            </a:solidFill>
            <a:round/>
            <a:headEnd/>
            <a:tailEnd/>
          </a:ln>
        </xdr:spPr>
      </xdr:sp>
      <xdr:sp macro="" textlink="">
        <xdr:nvSpPr>
          <xdr:cNvPr id="45" name="Line 461">
            <a:extLst>
              <a:ext uri="{FF2B5EF4-FFF2-40B4-BE49-F238E27FC236}">
                <a16:creationId xmlns:a16="http://schemas.microsoft.com/office/drawing/2014/main" id="{00000000-0008-0000-0000-00002D000000}"/>
              </a:ext>
            </a:extLst>
          </xdr:cNvPr>
          <xdr:cNvSpPr>
            <a:spLocks noChangeShapeType="1"/>
          </xdr:cNvSpPr>
        </xdr:nvSpPr>
        <xdr:spPr bwMode="auto">
          <a:xfrm rot="2265785">
            <a:off x="7715250" y="14830425"/>
            <a:ext cx="0" cy="114300"/>
          </a:xfrm>
          <a:prstGeom prst="line">
            <a:avLst/>
          </a:prstGeom>
          <a:noFill/>
          <a:ln w="9525">
            <a:solidFill>
              <a:srgbClr val="000000"/>
            </a:solidFill>
            <a:round/>
            <a:headEnd/>
            <a:tailEnd/>
          </a:ln>
        </xdr:spPr>
      </xdr:sp>
      <xdr:sp macro="" textlink="">
        <xdr:nvSpPr>
          <xdr:cNvPr id="46" name="Line 462">
            <a:extLst>
              <a:ext uri="{FF2B5EF4-FFF2-40B4-BE49-F238E27FC236}">
                <a16:creationId xmlns:a16="http://schemas.microsoft.com/office/drawing/2014/main" id="{00000000-0008-0000-0000-00002E000000}"/>
              </a:ext>
            </a:extLst>
          </xdr:cNvPr>
          <xdr:cNvSpPr>
            <a:spLocks noChangeShapeType="1"/>
          </xdr:cNvSpPr>
        </xdr:nvSpPr>
        <xdr:spPr bwMode="auto">
          <a:xfrm rot="-3134215">
            <a:off x="7700962" y="14835188"/>
            <a:ext cx="9525" cy="114300"/>
          </a:xfrm>
          <a:prstGeom prst="line">
            <a:avLst/>
          </a:prstGeom>
          <a:noFill/>
          <a:ln w="9525">
            <a:solidFill>
              <a:srgbClr val="000000"/>
            </a:solidFill>
            <a:round/>
            <a:headEnd/>
            <a:tailEnd/>
          </a:ln>
        </xdr:spPr>
      </xdr:sp>
    </xdr:grpSp>
    <xdr:clientData/>
  </xdr:twoCellAnchor>
  <xdr:twoCellAnchor>
    <xdr:from>
      <xdr:col>1</xdr:col>
      <xdr:colOff>685799</xdr:colOff>
      <xdr:row>32</xdr:row>
      <xdr:rowOff>552451</xdr:rowOff>
    </xdr:from>
    <xdr:to>
      <xdr:col>1</xdr:col>
      <xdr:colOff>1895474</xdr:colOff>
      <xdr:row>33</xdr:row>
      <xdr:rowOff>1485900</xdr:rowOff>
    </xdr:to>
    <xdr:grpSp>
      <xdr:nvGrpSpPr>
        <xdr:cNvPr id="66" name="Group 551">
          <a:extLst>
            <a:ext uri="{FF2B5EF4-FFF2-40B4-BE49-F238E27FC236}">
              <a16:creationId xmlns:a16="http://schemas.microsoft.com/office/drawing/2014/main" id="{00000000-0008-0000-0000-000042000000}"/>
            </a:ext>
          </a:extLst>
        </xdr:cNvPr>
        <xdr:cNvGrpSpPr>
          <a:grpSpLocks noChangeAspect="1"/>
        </xdr:cNvGrpSpPr>
      </xdr:nvGrpSpPr>
      <xdr:grpSpPr bwMode="auto">
        <a:xfrm>
          <a:off x="1216478" y="18731594"/>
          <a:ext cx="1209675" cy="1504949"/>
          <a:chOff x="3780" y="8508"/>
          <a:chExt cx="2340" cy="2520"/>
        </a:xfrm>
      </xdr:grpSpPr>
      <xdr:sp macro="" textlink="">
        <xdr:nvSpPr>
          <xdr:cNvPr id="67" name="AutoShape 552">
            <a:extLst>
              <a:ext uri="{FF2B5EF4-FFF2-40B4-BE49-F238E27FC236}">
                <a16:creationId xmlns:a16="http://schemas.microsoft.com/office/drawing/2014/main" id="{00000000-0008-0000-0000-000043000000}"/>
              </a:ext>
            </a:extLst>
          </xdr:cNvPr>
          <xdr:cNvSpPr>
            <a:spLocks noChangeAspect="1" noChangeArrowheads="1"/>
          </xdr:cNvSpPr>
        </xdr:nvSpPr>
        <xdr:spPr bwMode="auto">
          <a:xfrm>
            <a:off x="3780" y="8508"/>
            <a:ext cx="2340" cy="2520"/>
          </a:xfrm>
          <a:prstGeom prst="rect">
            <a:avLst/>
          </a:prstGeom>
          <a:noFill/>
          <a:ln w="9525">
            <a:noFill/>
            <a:miter lim="800000"/>
            <a:headEnd/>
            <a:tailEnd/>
          </a:ln>
        </xdr:spPr>
      </xdr:sp>
      <xdr:sp macro="" textlink="">
        <xdr:nvSpPr>
          <xdr:cNvPr id="68" name="Line 553">
            <a:extLst>
              <a:ext uri="{FF2B5EF4-FFF2-40B4-BE49-F238E27FC236}">
                <a16:creationId xmlns:a16="http://schemas.microsoft.com/office/drawing/2014/main" id="{00000000-0008-0000-0000-000044000000}"/>
              </a:ext>
            </a:extLst>
          </xdr:cNvPr>
          <xdr:cNvSpPr>
            <a:spLocks noChangeShapeType="1"/>
          </xdr:cNvSpPr>
        </xdr:nvSpPr>
        <xdr:spPr bwMode="auto">
          <a:xfrm>
            <a:off x="4140" y="9587"/>
            <a:ext cx="1440" cy="1"/>
          </a:xfrm>
          <a:prstGeom prst="line">
            <a:avLst/>
          </a:prstGeom>
          <a:noFill/>
          <a:ln w="38100">
            <a:solidFill>
              <a:srgbClr val="000000"/>
            </a:solidFill>
            <a:round/>
            <a:headEnd/>
            <a:tailEnd/>
          </a:ln>
        </xdr:spPr>
      </xdr:sp>
      <xdr:sp macro="" textlink="">
        <xdr:nvSpPr>
          <xdr:cNvPr id="69" name="Line 554">
            <a:extLst>
              <a:ext uri="{FF2B5EF4-FFF2-40B4-BE49-F238E27FC236}">
                <a16:creationId xmlns:a16="http://schemas.microsoft.com/office/drawing/2014/main" id="{00000000-0008-0000-0000-000045000000}"/>
              </a:ext>
            </a:extLst>
          </xdr:cNvPr>
          <xdr:cNvSpPr>
            <a:spLocks noChangeShapeType="1"/>
          </xdr:cNvSpPr>
        </xdr:nvSpPr>
        <xdr:spPr bwMode="auto">
          <a:xfrm>
            <a:off x="5320" y="9588"/>
            <a:ext cx="1" cy="1080"/>
          </a:xfrm>
          <a:prstGeom prst="line">
            <a:avLst/>
          </a:prstGeom>
          <a:noFill/>
          <a:ln w="9525">
            <a:solidFill>
              <a:srgbClr val="000000"/>
            </a:solidFill>
            <a:round/>
            <a:headEnd/>
            <a:tailEnd type="triangle" w="med" len="med"/>
          </a:ln>
        </xdr:spPr>
      </xdr:sp>
      <xdr:sp macro="" textlink="">
        <xdr:nvSpPr>
          <xdr:cNvPr id="70" name="Line 555">
            <a:extLst>
              <a:ext uri="{FF2B5EF4-FFF2-40B4-BE49-F238E27FC236}">
                <a16:creationId xmlns:a16="http://schemas.microsoft.com/office/drawing/2014/main" id="{00000000-0008-0000-0000-000046000000}"/>
              </a:ext>
            </a:extLst>
          </xdr:cNvPr>
          <xdr:cNvSpPr>
            <a:spLocks noChangeShapeType="1"/>
          </xdr:cNvSpPr>
        </xdr:nvSpPr>
        <xdr:spPr bwMode="auto">
          <a:xfrm>
            <a:off x="4450" y="9598"/>
            <a:ext cx="1" cy="1080"/>
          </a:xfrm>
          <a:prstGeom prst="line">
            <a:avLst/>
          </a:prstGeom>
          <a:noFill/>
          <a:ln w="9525">
            <a:solidFill>
              <a:srgbClr val="000000"/>
            </a:solidFill>
            <a:round/>
            <a:headEnd/>
            <a:tailEnd type="triangle" w="med" len="med"/>
          </a:ln>
        </xdr:spPr>
      </xdr:sp>
      <xdr:sp macro="" textlink="">
        <xdr:nvSpPr>
          <xdr:cNvPr id="71" name="Line 556">
            <a:extLst>
              <a:ext uri="{FF2B5EF4-FFF2-40B4-BE49-F238E27FC236}">
                <a16:creationId xmlns:a16="http://schemas.microsoft.com/office/drawing/2014/main" id="{00000000-0008-0000-0000-000047000000}"/>
              </a:ext>
            </a:extLst>
          </xdr:cNvPr>
          <xdr:cNvSpPr>
            <a:spLocks noChangeShapeType="1"/>
          </xdr:cNvSpPr>
        </xdr:nvSpPr>
        <xdr:spPr bwMode="auto">
          <a:xfrm>
            <a:off x="4860" y="9588"/>
            <a:ext cx="1" cy="1080"/>
          </a:xfrm>
          <a:prstGeom prst="line">
            <a:avLst/>
          </a:prstGeom>
          <a:noFill/>
          <a:ln w="9525">
            <a:solidFill>
              <a:srgbClr val="000000"/>
            </a:solidFill>
            <a:round/>
            <a:headEnd/>
            <a:tailEnd type="triangle" w="med" len="med"/>
          </a:ln>
        </xdr:spPr>
      </xdr:sp>
      <xdr:sp macro="" textlink="">
        <xdr:nvSpPr>
          <xdr:cNvPr id="72" name="Line 557">
            <a:extLst>
              <a:ext uri="{FF2B5EF4-FFF2-40B4-BE49-F238E27FC236}">
                <a16:creationId xmlns:a16="http://schemas.microsoft.com/office/drawing/2014/main" id="{00000000-0008-0000-0000-000048000000}"/>
              </a:ext>
            </a:extLst>
          </xdr:cNvPr>
          <xdr:cNvSpPr>
            <a:spLocks noChangeShapeType="1"/>
          </xdr:cNvSpPr>
        </xdr:nvSpPr>
        <xdr:spPr bwMode="auto">
          <a:xfrm>
            <a:off x="4860" y="9228"/>
            <a:ext cx="1" cy="360"/>
          </a:xfrm>
          <a:prstGeom prst="line">
            <a:avLst/>
          </a:prstGeom>
          <a:noFill/>
          <a:ln w="9525">
            <a:solidFill>
              <a:srgbClr val="000000"/>
            </a:solidFill>
            <a:round/>
            <a:headEnd/>
            <a:tailEnd/>
          </a:ln>
        </xdr:spPr>
      </xdr:sp>
      <xdr:sp macro="" textlink="">
        <xdr:nvSpPr>
          <xdr:cNvPr id="73" name="Oval 558">
            <a:extLst>
              <a:ext uri="{FF2B5EF4-FFF2-40B4-BE49-F238E27FC236}">
                <a16:creationId xmlns:a16="http://schemas.microsoft.com/office/drawing/2014/main" id="{00000000-0008-0000-0000-000049000000}"/>
              </a:ext>
            </a:extLst>
          </xdr:cNvPr>
          <xdr:cNvSpPr>
            <a:spLocks noChangeArrowheads="1"/>
          </xdr:cNvSpPr>
        </xdr:nvSpPr>
        <xdr:spPr bwMode="auto">
          <a:xfrm>
            <a:off x="4590" y="8692"/>
            <a:ext cx="540" cy="533"/>
          </a:xfrm>
          <a:prstGeom prst="ellipse">
            <a:avLst/>
          </a:prstGeom>
          <a:noFill/>
          <a:ln w="9525">
            <a:solidFill>
              <a:srgbClr val="000000"/>
            </a:solidFill>
            <a:round/>
            <a:headEnd/>
            <a:tailEnd/>
          </a:ln>
        </xdr:spPr>
        <xdr:txBody>
          <a:bodyPr vertOverflow="clip" wrap="square" lIns="91440" tIns="45720" rIns="91440" bIns="45720" anchor="t" upright="1"/>
          <a:lstStyle/>
          <a:p>
            <a:pPr algn="l" rtl="0">
              <a:defRPr sz="1000"/>
            </a:pPr>
            <a:endParaRPr lang="en-US" sz="1200" b="0" i="0" u="none" strike="noStrike" baseline="0">
              <a:solidFill>
                <a:srgbClr val="000000"/>
              </a:solidFill>
              <a:latin typeface="Times New Roman"/>
              <a:cs typeface="Times New Roman"/>
            </a:endParaRPr>
          </a:p>
          <a:p>
            <a:pPr algn="l" rtl="0">
              <a:defRPr sz="1000"/>
            </a:pPr>
            <a:endParaRPr lang="en-US" sz="1200" b="0" i="0" u="none" strike="noStrike" baseline="0">
              <a:solidFill>
                <a:srgbClr val="000000"/>
              </a:solidFill>
              <a:latin typeface="Times New Roman"/>
              <a:cs typeface="Times New Roman"/>
            </a:endParaRPr>
          </a:p>
        </xdr:txBody>
      </xdr:sp>
      <xdr:sp macro="" textlink="">
        <xdr:nvSpPr>
          <xdr:cNvPr id="74" name="Freeform 559">
            <a:extLst>
              <a:ext uri="{FF2B5EF4-FFF2-40B4-BE49-F238E27FC236}">
                <a16:creationId xmlns:a16="http://schemas.microsoft.com/office/drawing/2014/main" id="{00000000-0008-0000-0000-00004A000000}"/>
              </a:ext>
            </a:extLst>
          </xdr:cNvPr>
          <xdr:cNvSpPr>
            <a:spLocks/>
          </xdr:cNvSpPr>
        </xdr:nvSpPr>
        <xdr:spPr bwMode="auto">
          <a:xfrm rot="10800000">
            <a:off x="4710" y="8868"/>
            <a:ext cx="180" cy="180"/>
          </a:xfrm>
          <a:custGeom>
            <a:avLst/>
            <a:gdLst>
              <a:gd name="T0" fmla="*/ 0 w 360"/>
              <a:gd name="T1" fmla="*/ 0 h 180"/>
              <a:gd name="T2" fmla="*/ 1 w 360"/>
              <a:gd name="T3" fmla="*/ 180 h 180"/>
              <a:gd name="T4" fmla="*/ 1 w 360"/>
              <a:gd name="T5" fmla="*/ 0 h 180"/>
              <a:gd name="T6" fmla="*/ 0 60000 65536"/>
              <a:gd name="T7" fmla="*/ 0 60000 65536"/>
              <a:gd name="T8" fmla="*/ 0 60000 65536"/>
              <a:gd name="T9" fmla="*/ 0 w 360"/>
              <a:gd name="T10" fmla="*/ 0 h 180"/>
              <a:gd name="T11" fmla="*/ 360 w 360"/>
              <a:gd name="T12" fmla="*/ 180 h 180"/>
            </a:gdLst>
            <a:ahLst/>
            <a:cxnLst>
              <a:cxn ang="T6">
                <a:pos x="T0" y="T1"/>
              </a:cxn>
              <a:cxn ang="T7">
                <a:pos x="T2" y="T3"/>
              </a:cxn>
              <a:cxn ang="T8">
                <a:pos x="T4" y="T5"/>
              </a:cxn>
            </a:cxnLst>
            <a:rect l="T9" t="T10" r="T11" b="T12"/>
            <a:pathLst>
              <a:path w="360" h="180">
                <a:moveTo>
                  <a:pt x="0" y="0"/>
                </a:moveTo>
                <a:cubicBezTo>
                  <a:pt x="60" y="90"/>
                  <a:pt x="120" y="180"/>
                  <a:pt x="180" y="180"/>
                </a:cubicBezTo>
                <a:cubicBezTo>
                  <a:pt x="240" y="180"/>
                  <a:pt x="300" y="90"/>
                  <a:pt x="360" y="0"/>
                </a:cubicBezTo>
              </a:path>
            </a:pathLst>
          </a:custGeom>
          <a:noFill/>
          <a:ln w="9525">
            <a:solidFill>
              <a:srgbClr val="000000"/>
            </a:solidFill>
            <a:round/>
            <a:headEnd/>
            <a:tailEnd/>
          </a:ln>
        </xdr:spPr>
      </xdr:sp>
      <xdr:sp macro="" textlink="">
        <xdr:nvSpPr>
          <xdr:cNvPr id="75" name="Freeform 560">
            <a:extLst>
              <a:ext uri="{FF2B5EF4-FFF2-40B4-BE49-F238E27FC236}">
                <a16:creationId xmlns:a16="http://schemas.microsoft.com/office/drawing/2014/main" id="{00000000-0008-0000-0000-00004B000000}"/>
              </a:ext>
            </a:extLst>
          </xdr:cNvPr>
          <xdr:cNvSpPr>
            <a:spLocks/>
          </xdr:cNvSpPr>
        </xdr:nvSpPr>
        <xdr:spPr bwMode="auto">
          <a:xfrm>
            <a:off x="4830" y="8888"/>
            <a:ext cx="180" cy="180"/>
          </a:xfrm>
          <a:custGeom>
            <a:avLst/>
            <a:gdLst>
              <a:gd name="T0" fmla="*/ 0 w 360"/>
              <a:gd name="T1" fmla="*/ 0 h 180"/>
              <a:gd name="T2" fmla="*/ 1 w 360"/>
              <a:gd name="T3" fmla="*/ 180 h 180"/>
              <a:gd name="T4" fmla="*/ 1 w 360"/>
              <a:gd name="T5" fmla="*/ 0 h 180"/>
              <a:gd name="T6" fmla="*/ 0 60000 65536"/>
              <a:gd name="T7" fmla="*/ 0 60000 65536"/>
              <a:gd name="T8" fmla="*/ 0 60000 65536"/>
              <a:gd name="T9" fmla="*/ 0 w 360"/>
              <a:gd name="T10" fmla="*/ 0 h 180"/>
              <a:gd name="T11" fmla="*/ 360 w 360"/>
              <a:gd name="T12" fmla="*/ 180 h 180"/>
            </a:gdLst>
            <a:ahLst/>
            <a:cxnLst>
              <a:cxn ang="T6">
                <a:pos x="T0" y="T1"/>
              </a:cxn>
              <a:cxn ang="T7">
                <a:pos x="T2" y="T3"/>
              </a:cxn>
              <a:cxn ang="T8">
                <a:pos x="T4" y="T5"/>
              </a:cxn>
            </a:cxnLst>
            <a:rect l="T9" t="T10" r="T11" b="T12"/>
            <a:pathLst>
              <a:path w="360" h="180">
                <a:moveTo>
                  <a:pt x="0" y="0"/>
                </a:moveTo>
                <a:cubicBezTo>
                  <a:pt x="60" y="90"/>
                  <a:pt x="120" y="180"/>
                  <a:pt x="180" y="180"/>
                </a:cubicBezTo>
                <a:cubicBezTo>
                  <a:pt x="240" y="180"/>
                  <a:pt x="300" y="90"/>
                  <a:pt x="360" y="0"/>
                </a:cubicBezTo>
              </a:path>
            </a:pathLst>
          </a:custGeom>
          <a:noFill/>
          <a:ln w="9525">
            <a:solidFill>
              <a:srgbClr val="000000"/>
            </a:solidFill>
            <a:round/>
            <a:headEnd/>
            <a:tailEnd/>
          </a:ln>
        </xdr:spPr>
      </xdr:sp>
      <xdr:sp macro="" textlink="">
        <xdr:nvSpPr>
          <xdr:cNvPr id="76" name="Rectangle 561">
            <a:extLst>
              <a:ext uri="{FF2B5EF4-FFF2-40B4-BE49-F238E27FC236}">
                <a16:creationId xmlns:a16="http://schemas.microsoft.com/office/drawing/2014/main" id="{00000000-0008-0000-0000-00004C000000}"/>
              </a:ext>
            </a:extLst>
          </xdr:cNvPr>
          <xdr:cNvSpPr>
            <a:spLocks noChangeArrowheads="1"/>
          </xdr:cNvSpPr>
        </xdr:nvSpPr>
        <xdr:spPr bwMode="auto">
          <a:xfrm>
            <a:off x="4860" y="9133"/>
            <a:ext cx="540" cy="368"/>
          </a:xfrm>
          <a:prstGeom prst="rect">
            <a:avLst/>
          </a:prstGeom>
          <a:noFill/>
          <a:ln w="9525">
            <a:noFill/>
            <a:miter lim="800000"/>
            <a:headEnd/>
            <a:tailEnd/>
          </a:ln>
        </xdr:spPr>
        <xdr:txBody>
          <a:bodyPr vertOverflow="clip" wrap="square" lIns="91440" tIns="45720" rIns="91440" bIns="45720" anchor="t" upright="1"/>
          <a:lstStyle/>
          <a:p>
            <a:pPr algn="l" rtl="0">
              <a:defRPr sz="1000"/>
            </a:pPr>
            <a:r>
              <a:rPr lang="en-US" sz="1000" b="0" i="0" u="none" strike="noStrike" baseline="0">
                <a:solidFill>
                  <a:srgbClr val="000000"/>
                </a:solidFill>
                <a:latin typeface="Times New Roman"/>
                <a:cs typeface="Times New Roman"/>
              </a:rPr>
              <a:t>E</a:t>
            </a:r>
          </a:p>
          <a:p>
            <a:pPr algn="l" rtl="0">
              <a:defRPr sz="1000"/>
            </a:pPr>
            <a:endParaRPr lang="en-US" sz="1000" b="0" i="0" u="none" strike="noStrike" baseline="0">
              <a:solidFill>
                <a:srgbClr val="000000"/>
              </a:solidFill>
              <a:latin typeface="Times New Roman"/>
              <a:cs typeface="Times New Roman"/>
            </a:endParaRPr>
          </a:p>
        </xdr:txBody>
      </xdr:sp>
      <xdr:sp macro="" textlink="">
        <xdr:nvSpPr>
          <xdr:cNvPr id="77" name="Line 562">
            <a:extLst>
              <a:ext uri="{FF2B5EF4-FFF2-40B4-BE49-F238E27FC236}">
                <a16:creationId xmlns:a16="http://schemas.microsoft.com/office/drawing/2014/main" id="{00000000-0008-0000-0000-00004D000000}"/>
              </a:ext>
            </a:extLst>
          </xdr:cNvPr>
          <xdr:cNvSpPr>
            <a:spLocks noChangeShapeType="1"/>
          </xdr:cNvSpPr>
        </xdr:nvSpPr>
        <xdr:spPr bwMode="auto">
          <a:xfrm flipH="1">
            <a:off x="5294" y="10064"/>
            <a:ext cx="384" cy="331"/>
          </a:xfrm>
          <a:prstGeom prst="line">
            <a:avLst/>
          </a:prstGeom>
          <a:noFill/>
          <a:ln w="9525">
            <a:solidFill>
              <a:srgbClr val="000000"/>
            </a:solidFill>
            <a:round/>
            <a:headEnd/>
            <a:tailEnd type="triangle" w="med" len="med"/>
          </a:ln>
        </xdr:spPr>
      </xdr:sp>
      <xdr:sp macro="" textlink="">
        <xdr:nvSpPr>
          <xdr:cNvPr id="78" name="Line 563">
            <a:extLst>
              <a:ext uri="{FF2B5EF4-FFF2-40B4-BE49-F238E27FC236}">
                <a16:creationId xmlns:a16="http://schemas.microsoft.com/office/drawing/2014/main" id="{00000000-0008-0000-0000-00004E000000}"/>
              </a:ext>
            </a:extLst>
          </xdr:cNvPr>
          <xdr:cNvSpPr>
            <a:spLocks noChangeShapeType="1"/>
          </xdr:cNvSpPr>
        </xdr:nvSpPr>
        <xdr:spPr bwMode="auto">
          <a:xfrm>
            <a:off x="5676" y="10100"/>
            <a:ext cx="1" cy="180"/>
          </a:xfrm>
          <a:prstGeom prst="line">
            <a:avLst/>
          </a:prstGeom>
          <a:noFill/>
          <a:ln w="9525">
            <a:solidFill>
              <a:srgbClr val="000000"/>
            </a:solidFill>
            <a:round/>
            <a:headEnd/>
            <a:tailEnd/>
          </a:ln>
        </xdr:spPr>
      </xdr:sp>
      <xdr:sp macro="" textlink="">
        <xdr:nvSpPr>
          <xdr:cNvPr id="79" name="Line 564">
            <a:extLst>
              <a:ext uri="{FF2B5EF4-FFF2-40B4-BE49-F238E27FC236}">
                <a16:creationId xmlns:a16="http://schemas.microsoft.com/office/drawing/2014/main" id="{00000000-0008-0000-0000-00004F000000}"/>
              </a:ext>
            </a:extLst>
          </xdr:cNvPr>
          <xdr:cNvSpPr>
            <a:spLocks noChangeShapeType="1"/>
          </xdr:cNvSpPr>
        </xdr:nvSpPr>
        <xdr:spPr bwMode="auto">
          <a:xfrm rot="3084752" flipV="1">
            <a:off x="5871" y="9956"/>
            <a:ext cx="11" cy="439"/>
          </a:xfrm>
          <a:prstGeom prst="line">
            <a:avLst/>
          </a:prstGeom>
          <a:noFill/>
          <a:ln w="9525">
            <a:solidFill>
              <a:srgbClr val="000000"/>
            </a:solidFill>
            <a:round/>
            <a:headEnd/>
            <a:tailEnd/>
          </a:ln>
        </xdr:spPr>
      </xdr:sp>
      <xdr:sp macro="" textlink="">
        <xdr:nvSpPr>
          <xdr:cNvPr id="80" name="Line 565">
            <a:extLst>
              <a:ext uri="{FF2B5EF4-FFF2-40B4-BE49-F238E27FC236}">
                <a16:creationId xmlns:a16="http://schemas.microsoft.com/office/drawing/2014/main" id="{00000000-0008-0000-0000-000050000000}"/>
              </a:ext>
            </a:extLst>
          </xdr:cNvPr>
          <xdr:cNvSpPr>
            <a:spLocks noChangeShapeType="1"/>
          </xdr:cNvSpPr>
        </xdr:nvSpPr>
        <xdr:spPr bwMode="auto">
          <a:xfrm rot="-3294251">
            <a:off x="4361" y="9957"/>
            <a:ext cx="180" cy="1"/>
          </a:xfrm>
          <a:prstGeom prst="line">
            <a:avLst/>
          </a:prstGeom>
          <a:noFill/>
          <a:ln w="9525">
            <a:solidFill>
              <a:srgbClr val="000000"/>
            </a:solidFill>
            <a:round/>
            <a:headEnd/>
            <a:tailEnd/>
          </a:ln>
        </xdr:spPr>
      </xdr:sp>
      <xdr:sp macro="" textlink="">
        <xdr:nvSpPr>
          <xdr:cNvPr id="81" name="Line 566">
            <a:extLst>
              <a:ext uri="{FF2B5EF4-FFF2-40B4-BE49-F238E27FC236}">
                <a16:creationId xmlns:a16="http://schemas.microsoft.com/office/drawing/2014/main" id="{00000000-0008-0000-0000-000051000000}"/>
              </a:ext>
            </a:extLst>
          </xdr:cNvPr>
          <xdr:cNvSpPr>
            <a:spLocks noChangeShapeType="1"/>
          </xdr:cNvSpPr>
        </xdr:nvSpPr>
        <xdr:spPr bwMode="auto">
          <a:xfrm rot="-8694251">
            <a:off x="5230" y="9938"/>
            <a:ext cx="180" cy="1"/>
          </a:xfrm>
          <a:prstGeom prst="line">
            <a:avLst/>
          </a:prstGeom>
          <a:noFill/>
          <a:ln w="9525">
            <a:solidFill>
              <a:srgbClr val="000000"/>
            </a:solidFill>
            <a:round/>
            <a:headEnd/>
            <a:tailEnd/>
          </a:ln>
        </xdr:spPr>
      </xdr:sp>
      <xdr:sp macro="" textlink="">
        <xdr:nvSpPr>
          <xdr:cNvPr id="82" name="Line 567">
            <a:extLst>
              <a:ext uri="{FF2B5EF4-FFF2-40B4-BE49-F238E27FC236}">
                <a16:creationId xmlns:a16="http://schemas.microsoft.com/office/drawing/2014/main" id="{00000000-0008-0000-0000-000052000000}"/>
              </a:ext>
            </a:extLst>
          </xdr:cNvPr>
          <xdr:cNvSpPr>
            <a:spLocks noChangeShapeType="1"/>
          </xdr:cNvSpPr>
        </xdr:nvSpPr>
        <xdr:spPr bwMode="auto">
          <a:xfrm rot="-8694251">
            <a:off x="4770" y="9947"/>
            <a:ext cx="180" cy="1"/>
          </a:xfrm>
          <a:prstGeom prst="line">
            <a:avLst/>
          </a:prstGeom>
          <a:noFill/>
          <a:ln w="9525">
            <a:solidFill>
              <a:srgbClr val="000000"/>
            </a:solidFill>
            <a:round/>
            <a:headEnd/>
            <a:tailEnd/>
          </a:ln>
        </xdr:spPr>
      </xdr:sp>
      <xdr:sp macro="" textlink="">
        <xdr:nvSpPr>
          <xdr:cNvPr id="83" name="Line 568">
            <a:extLst>
              <a:ext uri="{FF2B5EF4-FFF2-40B4-BE49-F238E27FC236}">
                <a16:creationId xmlns:a16="http://schemas.microsoft.com/office/drawing/2014/main" id="{00000000-0008-0000-0000-000053000000}"/>
              </a:ext>
            </a:extLst>
          </xdr:cNvPr>
          <xdr:cNvSpPr>
            <a:spLocks noChangeShapeType="1"/>
          </xdr:cNvSpPr>
        </xdr:nvSpPr>
        <xdr:spPr bwMode="auto">
          <a:xfrm rot="-8694251">
            <a:off x="4360" y="9958"/>
            <a:ext cx="180" cy="1"/>
          </a:xfrm>
          <a:prstGeom prst="line">
            <a:avLst/>
          </a:prstGeom>
          <a:noFill/>
          <a:ln w="9525">
            <a:solidFill>
              <a:srgbClr val="000000"/>
            </a:solidFill>
            <a:round/>
            <a:headEnd/>
            <a:tailEnd/>
          </a:ln>
        </xdr:spPr>
      </xdr:sp>
      <xdr:sp macro="" textlink="">
        <xdr:nvSpPr>
          <xdr:cNvPr id="84" name="Line 569">
            <a:extLst>
              <a:ext uri="{FF2B5EF4-FFF2-40B4-BE49-F238E27FC236}">
                <a16:creationId xmlns:a16="http://schemas.microsoft.com/office/drawing/2014/main" id="{00000000-0008-0000-0000-000054000000}"/>
              </a:ext>
            </a:extLst>
          </xdr:cNvPr>
          <xdr:cNvSpPr>
            <a:spLocks noChangeShapeType="1"/>
          </xdr:cNvSpPr>
        </xdr:nvSpPr>
        <xdr:spPr bwMode="auto">
          <a:xfrm rot="-3294251">
            <a:off x="5230" y="9937"/>
            <a:ext cx="180" cy="1"/>
          </a:xfrm>
          <a:prstGeom prst="line">
            <a:avLst/>
          </a:prstGeom>
          <a:noFill/>
          <a:ln w="9525">
            <a:solidFill>
              <a:srgbClr val="000000"/>
            </a:solidFill>
            <a:round/>
            <a:headEnd/>
            <a:tailEnd/>
          </a:ln>
        </xdr:spPr>
      </xdr:sp>
      <xdr:sp macro="" textlink="">
        <xdr:nvSpPr>
          <xdr:cNvPr id="85" name="Line 570">
            <a:extLst>
              <a:ext uri="{FF2B5EF4-FFF2-40B4-BE49-F238E27FC236}">
                <a16:creationId xmlns:a16="http://schemas.microsoft.com/office/drawing/2014/main" id="{00000000-0008-0000-0000-000055000000}"/>
              </a:ext>
            </a:extLst>
          </xdr:cNvPr>
          <xdr:cNvSpPr>
            <a:spLocks noChangeShapeType="1"/>
          </xdr:cNvSpPr>
        </xdr:nvSpPr>
        <xdr:spPr bwMode="auto">
          <a:xfrm rot="-3294251">
            <a:off x="4770" y="9947"/>
            <a:ext cx="180" cy="1"/>
          </a:xfrm>
          <a:prstGeom prst="line">
            <a:avLst/>
          </a:prstGeom>
          <a:noFill/>
          <a:ln w="9525">
            <a:solidFill>
              <a:srgbClr val="000000"/>
            </a:solidFill>
            <a:round/>
            <a:headEnd/>
            <a:tailEnd/>
          </a:ln>
        </xdr:spPr>
      </xdr:sp>
      <xdr:sp macro="" textlink="">
        <xdr:nvSpPr>
          <xdr:cNvPr id="86" name="Text Box 571">
            <a:extLst>
              <a:ext uri="{FF2B5EF4-FFF2-40B4-BE49-F238E27FC236}">
                <a16:creationId xmlns:a16="http://schemas.microsoft.com/office/drawing/2014/main" id="{00000000-0008-0000-0000-000056000000}"/>
              </a:ext>
            </a:extLst>
          </xdr:cNvPr>
          <xdr:cNvSpPr txBox="1">
            <a:spLocks noChangeArrowheads="1"/>
          </xdr:cNvSpPr>
        </xdr:nvSpPr>
        <xdr:spPr bwMode="auto">
          <a:xfrm>
            <a:off x="5115" y="9391"/>
            <a:ext cx="540" cy="368"/>
          </a:xfrm>
          <a:prstGeom prst="rect">
            <a:avLst/>
          </a:prstGeom>
          <a:noFill/>
          <a:ln w="9525">
            <a:noFill/>
            <a:miter lim="800000"/>
            <a:headEnd/>
            <a:tailEnd/>
          </a:ln>
        </xdr:spPr>
        <xdr:txBody>
          <a:bodyPr vertOverflow="clip" wrap="square" lIns="91440" tIns="45720" rIns="91440" bIns="45720" anchor="t" upright="1"/>
          <a:lstStyle/>
          <a:p>
            <a:pPr algn="l" rtl="0">
              <a:defRPr sz="1000"/>
            </a:pPr>
            <a:r>
              <a:rPr lang="en-US" sz="1000" b="0" i="0" u="none" strike="noStrike" baseline="0">
                <a:solidFill>
                  <a:srgbClr val="000000"/>
                </a:solidFill>
                <a:latin typeface="Times New Roman"/>
                <a:cs typeface="Times New Roman"/>
              </a:rPr>
              <a:t>●</a:t>
            </a:r>
          </a:p>
          <a:p>
            <a:pPr algn="l" rtl="0">
              <a:defRPr sz="1000"/>
            </a:pPr>
            <a:endParaRPr lang="en-US" sz="1000" b="0" i="0" u="none" strike="noStrike" baseline="0">
              <a:solidFill>
                <a:srgbClr val="000000"/>
              </a:solidFill>
              <a:latin typeface="Times New Roman"/>
              <a:cs typeface="Times New Roman"/>
            </a:endParaRPr>
          </a:p>
        </xdr:txBody>
      </xdr:sp>
      <xdr:sp macro="" textlink="">
        <xdr:nvSpPr>
          <xdr:cNvPr id="87" name="Text Box 572">
            <a:extLst>
              <a:ext uri="{FF2B5EF4-FFF2-40B4-BE49-F238E27FC236}">
                <a16:creationId xmlns:a16="http://schemas.microsoft.com/office/drawing/2014/main" id="{00000000-0008-0000-0000-000057000000}"/>
              </a:ext>
            </a:extLst>
          </xdr:cNvPr>
          <xdr:cNvSpPr txBox="1">
            <a:spLocks noChangeArrowheads="1"/>
          </xdr:cNvSpPr>
        </xdr:nvSpPr>
        <xdr:spPr bwMode="auto">
          <a:xfrm>
            <a:off x="4560" y="9391"/>
            <a:ext cx="540" cy="368"/>
          </a:xfrm>
          <a:prstGeom prst="rect">
            <a:avLst/>
          </a:prstGeom>
          <a:noFill/>
          <a:ln w="9525">
            <a:noFill/>
            <a:miter lim="800000"/>
            <a:headEnd/>
            <a:tailEnd/>
          </a:ln>
        </xdr:spPr>
        <xdr:txBody>
          <a:bodyPr vertOverflow="clip" wrap="square" lIns="91440" tIns="45720" rIns="91440" bIns="45720" anchor="t" upright="1"/>
          <a:lstStyle/>
          <a:p>
            <a:pPr algn="l" rtl="0">
              <a:defRPr sz="1000"/>
            </a:pPr>
            <a:r>
              <a:rPr lang="en-US" sz="1000" b="0" i="0" u="none" strike="noStrike" baseline="0">
                <a:solidFill>
                  <a:srgbClr val="000000"/>
                </a:solidFill>
                <a:latin typeface="Times New Roman"/>
                <a:cs typeface="Times New Roman"/>
              </a:rPr>
              <a:t>  ●</a:t>
            </a:r>
          </a:p>
          <a:p>
            <a:pPr algn="l" rtl="0">
              <a:defRPr sz="1000"/>
            </a:pPr>
            <a:endParaRPr lang="en-US" sz="1000" b="0" i="0" u="none" strike="noStrike" baseline="0">
              <a:solidFill>
                <a:srgbClr val="000000"/>
              </a:solidFill>
              <a:latin typeface="Times New Roman"/>
              <a:cs typeface="Times New Roman"/>
            </a:endParaRPr>
          </a:p>
        </xdr:txBody>
      </xdr:sp>
      <xdr:sp macro="" textlink="">
        <xdr:nvSpPr>
          <xdr:cNvPr id="88" name="Text Box 573">
            <a:extLst>
              <a:ext uri="{FF2B5EF4-FFF2-40B4-BE49-F238E27FC236}">
                <a16:creationId xmlns:a16="http://schemas.microsoft.com/office/drawing/2014/main" id="{00000000-0008-0000-0000-000058000000}"/>
              </a:ext>
            </a:extLst>
          </xdr:cNvPr>
          <xdr:cNvSpPr txBox="1">
            <a:spLocks noChangeArrowheads="1"/>
          </xdr:cNvSpPr>
        </xdr:nvSpPr>
        <xdr:spPr bwMode="auto">
          <a:xfrm>
            <a:off x="4245" y="9391"/>
            <a:ext cx="540" cy="368"/>
          </a:xfrm>
          <a:prstGeom prst="rect">
            <a:avLst/>
          </a:prstGeom>
          <a:noFill/>
          <a:ln w="9525">
            <a:noFill/>
            <a:miter lim="800000"/>
            <a:headEnd/>
            <a:tailEnd/>
          </a:ln>
        </xdr:spPr>
        <xdr:txBody>
          <a:bodyPr vertOverflow="clip" wrap="square" lIns="91440" tIns="45720" rIns="91440" bIns="45720" anchor="t" upright="1"/>
          <a:lstStyle/>
          <a:p>
            <a:pPr algn="l" rtl="0">
              <a:defRPr sz="1000"/>
            </a:pPr>
            <a:r>
              <a:rPr lang="en-US" sz="1000" b="0" i="0" u="none" strike="noStrike" baseline="0">
                <a:solidFill>
                  <a:srgbClr val="000000"/>
                </a:solidFill>
                <a:latin typeface="Times New Roman"/>
                <a:cs typeface="Times New Roman"/>
              </a:rPr>
              <a:t>●</a:t>
            </a:r>
          </a:p>
          <a:p>
            <a:pPr algn="l" rtl="0">
              <a:defRPr sz="1000"/>
            </a:pPr>
            <a:endParaRPr lang="en-US" sz="1000" b="0" i="0" u="none" strike="noStrike" baseline="0">
              <a:solidFill>
                <a:srgbClr val="000000"/>
              </a:solidFill>
              <a:latin typeface="Times New Roman"/>
              <a:cs typeface="Times New Roman"/>
            </a:endParaRPr>
          </a:p>
        </xdr:txBody>
      </xdr:sp>
    </xdr:grpSp>
    <xdr:clientData/>
  </xdr:twoCellAnchor>
  <xdr:twoCellAnchor>
    <xdr:from>
      <xdr:col>1</xdr:col>
      <xdr:colOff>95250</xdr:colOff>
      <xdr:row>174</xdr:row>
      <xdr:rowOff>123825</xdr:rowOff>
    </xdr:from>
    <xdr:to>
      <xdr:col>1</xdr:col>
      <xdr:colOff>2228850</xdr:colOff>
      <xdr:row>174</xdr:row>
      <xdr:rowOff>1047750</xdr:rowOff>
    </xdr:to>
    <xdr:grpSp>
      <xdr:nvGrpSpPr>
        <xdr:cNvPr id="89" name="Group 88">
          <a:extLst>
            <a:ext uri="{FF2B5EF4-FFF2-40B4-BE49-F238E27FC236}">
              <a16:creationId xmlns:a16="http://schemas.microsoft.com/office/drawing/2014/main" id="{00000000-0008-0000-0000-000059000000}"/>
            </a:ext>
          </a:extLst>
        </xdr:cNvPr>
        <xdr:cNvGrpSpPr/>
      </xdr:nvGrpSpPr>
      <xdr:grpSpPr>
        <a:xfrm>
          <a:off x="625929" y="112097004"/>
          <a:ext cx="2133600" cy="923925"/>
          <a:chOff x="2095500" y="113147475"/>
          <a:chExt cx="2133600" cy="628650"/>
        </a:xfrm>
      </xdr:grpSpPr>
      <xdr:sp macro="" textlink="">
        <xdr:nvSpPr>
          <xdr:cNvPr id="90" name="Text Box 378">
            <a:extLst>
              <a:ext uri="{FF2B5EF4-FFF2-40B4-BE49-F238E27FC236}">
                <a16:creationId xmlns:a16="http://schemas.microsoft.com/office/drawing/2014/main" id="{00000000-0008-0000-0000-00005A000000}"/>
              </a:ext>
            </a:extLst>
          </xdr:cNvPr>
          <xdr:cNvSpPr txBox="1">
            <a:spLocks noChangeArrowheads="1"/>
          </xdr:cNvSpPr>
        </xdr:nvSpPr>
        <xdr:spPr bwMode="auto">
          <a:xfrm>
            <a:off x="2390775" y="113433225"/>
            <a:ext cx="342900" cy="342900"/>
          </a:xfrm>
          <a:prstGeom prst="rect">
            <a:avLst/>
          </a:prstGeom>
          <a:solidFill>
            <a:srgbClr val="FFFFFF"/>
          </a:solidFill>
          <a:ln w="9525">
            <a:noFill/>
            <a:miter lim="800000"/>
            <a:headEnd/>
            <a:tailEnd/>
          </a:ln>
        </xdr:spPr>
        <xdr:txBody>
          <a:bodyPr vertOverflow="clip" wrap="square" lIns="91440" tIns="45720" rIns="91440" bIns="45720" anchor="t" upright="1"/>
          <a:lstStyle/>
          <a:p>
            <a:pPr algn="l" rtl="0">
              <a:defRPr sz="1000"/>
            </a:pPr>
            <a:r>
              <a:rPr lang="en-US" sz="1200" b="0" i="0" u="none" strike="noStrike" baseline="0">
                <a:solidFill>
                  <a:srgbClr val="000000"/>
                </a:solidFill>
                <a:latin typeface="Times New Roman"/>
                <a:cs typeface="Times New Roman"/>
              </a:rPr>
              <a:t>S</a:t>
            </a:r>
            <a:r>
              <a:rPr lang="en-US" sz="900" b="0" i="0" u="none" strike="noStrike" baseline="0">
                <a:solidFill>
                  <a:srgbClr val="000000"/>
                </a:solidFill>
                <a:latin typeface="Times New Roman"/>
                <a:cs typeface="Times New Roman"/>
              </a:rPr>
              <a:t>1</a:t>
            </a:r>
            <a:endParaRPr lang="en-US" sz="1200" b="0" i="0" u="none" strike="noStrike" baseline="0">
              <a:solidFill>
                <a:srgbClr val="000000"/>
              </a:solidFill>
              <a:latin typeface="Times New Roman"/>
              <a:cs typeface="Times New Roman"/>
            </a:endParaRPr>
          </a:p>
          <a:p>
            <a:pPr algn="l" rtl="0">
              <a:defRPr sz="1000"/>
            </a:pPr>
            <a:endParaRPr lang="en-US" sz="1200" b="0" i="0" u="none" strike="noStrike" baseline="0">
              <a:solidFill>
                <a:srgbClr val="000000"/>
              </a:solidFill>
              <a:latin typeface="Times New Roman"/>
              <a:cs typeface="Times New Roman"/>
            </a:endParaRPr>
          </a:p>
        </xdr:txBody>
      </xdr:sp>
      <xdr:sp macro="" textlink="">
        <xdr:nvSpPr>
          <xdr:cNvPr id="91" name="Text Box 379">
            <a:extLst>
              <a:ext uri="{FF2B5EF4-FFF2-40B4-BE49-F238E27FC236}">
                <a16:creationId xmlns:a16="http://schemas.microsoft.com/office/drawing/2014/main" id="{00000000-0008-0000-0000-00005B000000}"/>
              </a:ext>
            </a:extLst>
          </xdr:cNvPr>
          <xdr:cNvSpPr txBox="1">
            <a:spLocks noChangeArrowheads="1"/>
          </xdr:cNvSpPr>
        </xdr:nvSpPr>
        <xdr:spPr bwMode="auto">
          <a:xfrm>
            <a:off x="2905125" y="113414175"/>
            <a:ext cx="457200" cy="285750"/>
          </a:xfrm>
          <a:prstGeom prst="rect">
            <a:avLst/>
          </a:prstGeom>
          <a:solidFill>
            <a:srgbClr val="FFFFFF"/>
          </a:solidFill>
          <a:ln w="9525">
            <a:noFill/>
            <a:miter lim="800000"/>
            <a:headEnd/>
            <a:tailEnd/>
          </a:ln>
        </xdr:spPr>
        <xdr:txBody>
          <a:bodyPr vertOverflow="clip" wrap="square" lIns="91440" tIns="45720" rIns="91440" bIns="45720" anchor="t" upright="1"/>
          <a:lstStyle/>
          <a:p>
            <a:pPr algn="l" rtl="0">
              <a:defRPr sz="1000"/>
            </a:pPr>
            <a:r>
              <a:rPr lang="en-US" sz="1200" b="0" i="0" u="none" strike="noStrike" baseline="0">
                <a:solidFill>
                  <a:srgbClr val="000000"/>
                </a:solidFill>
                <a:latin typeface="Times New Roman"/>
                <a:cs typeface="Times New Roman"/>
              </a:rPr>
              <a:t>S</a:t>
            </a:r>
            <a:r>
              <a:rPr lang="en-US" sz="900" b="0" i="0" u="none" strike="noStrike" baseline="0">
                <a:solidFill>
                  <a:srgbClr val="000000"/>
                </a:solidFill>
                <a:latin typeface="Times New Roman"/>
                <a:cs typeface="Times New Roman"/>
              </a:rPr>
              <a:t>2</a:t>
            </a:r>
            <a:endParaRPr lang="en-US" sz="1200" b="0" i="0" u="none" strike="noStrike" baseline="0">
              <a:solidFill>
                <a:srgbClr val="000000"/>
              </a:solidFill>
              <a:latin typeface="Times New Roman"/>
              <a:cs typeface="Times New Roman"/>
            </a:endParaRPr>
          </a:p>
          <a:p>
            <a:pPr algn="l" rtl="0">
              <a:defRPr sz="1000"/>
            </a:pPr>
            <a:endParaRPr lang="en-US" sz="1200" b="0" i="0" u="none" strike="noStrike" baseline="0">
              <a:solidFill>
                <a:srgbClr val="000000"/>
              </a:solidFill>
              <a:latin typeface="Times New Roman"/>
              <a:cs typeface="Times New Roman"/>
            </a:endParaRPr>
          </a:p>
        </xdr:txBody>
      </xdr:sp>
      <xdr:grpSp>
        <xdr:nvGrpSpPr>
          <xdr:cNvPr id="92" name="Group 631">
            <a:extLst>
              <a:ext uri="{FF2B5EF4-FFF2-40B4-BE49-F238E27FC236}">
                <a16:creationId xmlns:a16="http://schemas.microsoft.com/office/drawing/2014/main" id="{00000000-0008-0000-0000-00005C000000}"/>
              </a:ext>
            </a:extLst>
          </xdr:cNvPr>
          <xdr:cNvGrpSpPr/>
        </xdr:nvGrpSpPr>
        <xdr:grpSpPr>
          <a:xfrm>
            <a:off x="2095500" y="113147475"/>
            <a:ext cx="2133600" cy="457200"/>
            <a:chOff x="2095500" y="113147475"/>
            <a:chExt cx="2133600" cy="457200"/>
          </a:xfrm>
        </xdr:grpSpPr>
        <xdr:sp macro="" textlink="">
          <xdr:nvSpPr>
            <xdr:cNvPr id="93" name="Oval 371">
              <a:extLst>
                <a:ext uri="{FF2B5EF4-FFF2-40B4-BE49-F238E27FC236}">
                  <a16:creationId xmlns:a16="http://schemas.microsoft.com/office/drawing/2014/main" id="{00000000-0008-0000-0000-00005D000000}"/>
                </a:ext>
              </a:extLst>
            </xdr:cNvPr>
            <xdr:cNvSpPr>
              <a:spLocks noChangeArrowheads="1"/>
            </xdr:cNvSpPr>
          </xdr:nvSpPr>
          <xdr:spPr bwMode="auto">
            <a:xfrm>
              <a:off x="3838575" y="113176050"/>
              <a:ext cx="390525" cy="333375"/>
            </a:xfrm>
            <a:prstGeom prst="ellipse">
              <a:avLst/>
            </a:prstGeom>
            <a:solidFill>
              <a:srgbClr val="FFFFFF"/>
            </a:solidFill>
            <a:ln w="9525">
              <a:solidFill>
                <a:srgbClr val="000000"/>
              </a:solidFill>
              <a:round/>
              <a:headEnd/>
              <a:tailEnd/>
            </a:ln>
          </xdr:spPr>
          <xdr:txBody>
            <a:bodyPr vertOverflow="clip" wrap="square" lIns="91440" tIns="45720" rIns="91440" bIns="45720" anchor="t" upright="1"/>
            <a:lstStyle/>
            <a:p>
              <a:pPr algn="l" rtl="0">
                <a:defRPr sz="1000"/>
              </a:pPr>
              <a:r>
                <a:rPr lang="en-US" sz="800" b="0" i="0" u="none" strike="noStrike" baseline="0">
                  <a:solidFill>
                    <a:srgbClr val="000000"/>
                  </a:solidFill>
                  <a:latin typeface="Times New Roman"/>
                  <a:cs typeface="Times New Roman"/>
                </a:rPr>
                <a:t>M</a:t>
              </a:r>
              <a:endParaRPr lang="en-US" sz="1000" b="0" i="0" u="none" strike="noStrike" baseline="0">
                <a:solidFill>
                  <a:srgbClr val="000000"/>
                </a:solidFill>
                <a:latin typeface="Times New Roman"/>
                <a:cs typeface="Times New Roman"/>
              </a:endParaRPr>
            </a:p>
            <a:p>
              <a:pPr algn="l" rtl="0">
                <a:defRPr sz="1000"/>
              </a:pPr>
              <a:endParaRPr lang="en-US" sz="1000" b="0" i="0" u="none" strike="noStrike" baseline="0">
                <a:solidFill>
                  <a:srgbClr val="000000"/>
                </a:solidFill>
                <a:latin typeface="Times New Roman"/>
                <a:cs typeface="Times New Roman"/>
              </a:endParaRPr>
            </a:p>
          </xdr:txBody>
        </xdr:sp>
        <xdr:sp macro="" textlink="">
          <xdr:nvSpPr>
            <xdr:cNvPr id="94" name="Line 372">
              <a:extLst>
                <a:ext uri="{FF2B5EF4-FFF2-40B4-BE49-F238E27FC236}">
                  <a16:creationId xmlns:a16="http://schemas.microsoft.com/office/drawing/2014/main" id="{00000000-0008-0000-0000-00005E000000}"/>
                </a:ext>
              </a:extLst>
            </xdr:cNvPr>
            <xdr:cNvSpPr>
              <a:spLocks noChangeShapeType="1"/>
            </xdr:cNvSpPr>
          </xdr:nvSpPr>
          <xdr:spPr bwMode="auto">
            <a:xfrm>
              <a:off x="2333625" y="113337975"/>
              <a:ext cx="1485900" cy="0"/>
            </a:xfrm>
            <a:prstGeom prst="line">
              <a:avLst/>
            </a:prstGeom>
            <a:noFill/>
            <a:ln w="9525">
              <a:solidFill>
                <a:srgbClr val="000000"/>
              </a:solidFill>
              <a:round/>
              <a:headEnd/>
              <a:tailEnd/>
            </a:ln>
          </xdr:spPr>
        </xdr:sp>
        <xdr:sp macro="" textlink="">
          <xdr:nvSpPr>
            <xdr:cNvPr id="95" name="Line 373">
              <a:extLst>
                <a:ext uri="{FF2B5EF4-FFF2-40B4-BE49-F238E27FC236}">
                  <a16:creationId xmlns:a16="http://schemas.microsoft.com/office/drawing/2014/main" id="{00000000-0008-0000-0000-00005F000000}"/>
                </a:ext>
              </a:extLst>
            </xdr:cNvPr>
            <xdr:cNvSpPr>
              <a:spLocks noChangeShapeType="1"/>
            </xdr:cNvSpPr>
          </xdr:nvSpPr>
          <xdr:spPr bwMode="auto">
            <a:xfrm rot="2265785">
              <a:off x="2552700" y="113280825"/>
              <a:ext cx="0" cy="114300"/>
            </a:xfrm>
            <a:prstGeom prst="line">
              <a:avLst/>
            </a:prstGeom>
            <a:noFill/>
            <a:ln w="9525">
              <a:solidFill>
                <a:srgbClr val="000000"/>
              </a:solidFill>
              <a:round/>
              <a:headEnd/>
              <a:tailEnd/>
            </a:ln>
          </xdr:spPr>
        </xdr:sp>
        <xdr:sp macro="" textlink="">
          <xdr:nvSpPr>
            <xdr:cNvPr id="96" name="Line 374">
              <a:extLst>
                <a:ext uri="{FF2B5EF4-FFF2-40B4-BE49-F238E27FC236}">
                  <a16:creationId xmlns:a16="http://schemas.microsoft.com/office/drawing/2014/main" id="{00000000-0008-0000-0000-000060000000}"/>
                </a:ext>
              </a:extLst>
            </xdr:cNvPr>
            <xdr:cNvSpPr>
              <a:spLocks noChangeShapeType="1"/>
            </xdr:cNvSpPr>
          </xdr:nvSpPr>
          <xdr:spPr bwMode="auto">
            <a:xfrm rot="2265785">
              <a:off x="3067050" y="113280825"/>
              <a:ext cx="0" cy="114300"/>
            </a:xfrm>
            <a:prstGeom prst="line">
              <a:avLst/>
            </a:prstGeom>
            <a:noFill/>
            <a:ln w="9525">
              <a:solidFill>
                <a:srgbClr val="000000"/>
              </a:solidFill>
              <a:round/>
              <a:headEnd/>
              <a:tailEnd/>
            </a:ln>
          </xdr:spPr>
        </xdr:sp>
        <xdr:sp macro="" textlink="">
          <xdr:nvSpPr>
            <xdr:cNvPr id="97" name="Line 375">
              <a:extLst>
                <a:ext uri="{FF2B5EF4-FFF2-40B4-BE49-F238E27FC236}">
                  <a16:creationId xmlns:a16="http://schemas.microsoft.com/office/drawing/2014/main" id="{00000000-0008-0000-0000-000061000000}"/>
                </a:ext>
              </a:extLst>
            </xdr:cNvPr>
            <xdr:cNvSpPr>
              <a:spLocks noChangeShapeType="1"/>
            </xdr:cNvSpPr>
          </xdr:nvSpPr>
          <xdr:spPr bwMode="auto">
            <a:xfrm rot="2265785">
              <a:off x="2800350" y="113280825"/>
              <a:ext cx="0" cy="114300"/>
            </a:xfrm>
            <a:prstGeom prst="line">
              <a:avLst/>
            </a:prstGeom>
            <a:noFill/>
            <a:ln w="9525">
              <a:solidFill>
                <a:srgbClr val="000000"/>
              </a:solidFill>
              <a:round/>
              <a:headEnd/>
              <a:tailEnd/>
            </a:ln>
          </xdr:spPr>
        </xdr:sp>
        <xdr:sp macro="" textlink="">
          <xdr:nvSpPr>
            <xdr:cNvPr id="98" name="Line 376">
              <a:extLst>
                <a:ext uri="{FF2B5EF4-FFF2-40B4-BE49-F238E27FC236}">
                  <a16:creationId xmlns:a16="http://schemas.microsoft.com/office/drawing/2014/main" id="{00000000-0008-0000-0000-000062000000}"/>
                </a:ext>
              </a:extLst>
            </xdr:cNvPr>
            <xdr:cNvSpPr>
              <a:spLocks noChangeShapeType="1"/>
            </xdr:cNvSpPr>
          </xdr:nvSpPr>
          <xdr:spPr bwMode="auto">
            <a:xfrm rot="-3134215">
              <a:off x="2809875" y="113271300"/>
              <a:ext cx="0" cy="114300"/>
            </a:xfrm>
            <a:prstGeom prst="line">
              <a:avLst/>
            </a:prstGeom>
            <a:noFill/>
            <a:ln w="9525">
              <a:solidFill>
                <a:srgbClr val="000000"/>
              </a:solidFill>
              <a:round/>
              <a:headEnd/>
              <a:tailEnd/>
            </a:ln>
          </xdr:spPr>
        </xdr:sp>
        <xdr:sp macro="" textlink="">
          <xdr:nvSpPr>
            <xdr:cNvPr id="99" name="Line 377">
              <a:extLst>
                <a:ext uri="{FF2B5EF4-FFF2-40B4-BE49-F238E27FC236}">
                  <a16:creationId xmlns:a16="http://schemas.microsoft.com/office/drawing/2014/main" id="{00000000-0008-0000-0000-000063000000}"/>
                </a:ext>
              </a:extLst>
            </xdr:cNvPr>
            <xdr:cNvSpPr>
              <a:spLocks noChangeShapeType="1"/>
            </xdr:cNvSpPr>
          </xdr:nvSpPr>
          <xdr:spPr bwMode="auto">
            <a:xfrm>
              <a:off x="2095500" y="113337975"/>
              <a:ext cx="228600" cy="0"/>
            </a:xfrm>
            <a:prstGeom prst="line">
              <a:avLst/>
            </a:prstGeom>
            <a:noFill/>
            <a:ln w="9525">
              <a:solidFill>
                <a:srgbClr val="000000"/>
              </a:solidFill>
              <a:round/>
              <a:headEnd/>
              <a:tailEnd type="triangle" w="med" len="med"/>
            </a:ln>
          </xdr:spPr>
        </xdr:sp>
        <xdr:sp macro="" textlink="">
          <xdr:nvSpPr>
            <xdr:cNvPr id="100" name="Line 380">
              <a:extLst>
                <a:ext uri="{FF2B5EF4-FFF2-40B4-BE49-F238E27FC236}">
                  <a16:creationId xmlns:a16="http://schemas.microsoft.com/office/drawing/2014/main" id="{00000000-0008-0000-0000-000064000000}"/>
                </a:ext>
              </a:extLst>
            </xdr:cNvPr>
            <xdr:cNvSpPr>
              <a:spLocks noChangeShapeType="1"/>
            </xdr:cNvSpPr>
          </xdr:nvSpPr>
          <xdr:spPr bwMode="auto">
            <a:xfrm>
              <a:off x="2333625" y="113147475"/>
              <a:ext cx="0" cy="457200"/>
            </a:xfrm>
            <a:prstGeom prst="line">
              <a:avLst/>
            </a:prstGeom>
            <a:noFill/>
            <a:ln w="38100">
              <a:solidFill>
                <a:srgbClr val="000000"/>
              </a:solidFill>
              <a:round/>
              <a:headEnd/>
              <a:tailEnd/>
            </a:ln>
          </xdr:spPr>
        </xdr:sp>
      </xdr:grpSp>
    </xdr:grpSp>
    <xdr:clientData/>
  </xdr:twoCellAnchor>
  <xdr:twoCellAnchor>
    <xdr:from>
      <xdr:col>1</xdr:col>
      <xdr:colOff>85725</xdr:colOff>
      <xdr:row>172</xdr:row>
      <xdr:rowOff>1009650</xdr:rowOff>
    </xdr:from>
    <xdr:to>
      <xdr:col>1</xdr:col>
      <xdr:colOff>314325</xdr:colOff>
      <xdr:row>172</xdr:row>
      <xdr:rowOff>1238250</xdr:rowOff>
    </xdr:to>
    <xdr:sp macro="" textlink="">
      <xdr:nvSpPr>
        <xdr:cNvPr id="101" name="Oval 381">
          <a:extLst>
            <a:ext uri="{FF2B5EF4-FFF2-40B4-BE49-F238E27FC236}">
              <a16:creationId xmlns:a16="http://schemas.microsoft.com/office/drawing/2014/main" id="{00000000-0008-0000-0000-000065000000}"/>
            </a:ext>
          </a:extLst>
        </xdr:cNvPr>
        <xdr:cNvSpPr>
          <a:spLocks noChangeArrowheads="1"/>
        </xdr:cNvSpPr>
      </xdr:nvSpPr>
      <xdr:spPr bwMode="auto">
        <a:xfrm>
          <a:off x="2085975" y="108775500"/>
          <a:ext cx="228600" cy="228600"/>
        </a:xfrm>
        <a:prstGeom prst="ellipse">
          <a:avLst/>
        </a:prstGeom>
        <a:noFill/>
        <a:ln w="9525">
          <a:solidFill>
            <a:srgbClr val="000000"/>
          </a:solidFill>
          <a:round/>
          <a:headEnd/>
          <a:tailEnd/>
        </a:ln>
      </xdr:spPr>
    </xdr:sp>
    <xdr:clientData/>
  </xdr:twoCellAnchor>
  <xdr:twoCellAnchor>
    <xdr:from>
      <xdr:col>1</xdr:col>
      <xdr:colOff>76200</xdr:colOff>
      <xdr:row>172</xdr:row>
      <xdr:rowOff>1123950</xdr:rowOff>
    </xdr:from>
    <xdr:to>
      <xdr:col>1</xdr:col>
      <xdr:colOff>304800</xdr:colOff>
      <xdr:row>172</xdr:row>
      <xdr:rowOff>1352550</xdr:rowOff>
    </xdr:to>
    <xdr:sp macro="" textlink="">
      <xdr:nvSpPr>
        <xdr:cNvPr id="102" name="Oval 382">
          <a:extLst>
            <a:ext uri="{FF2B5EF4-FFF2-40B4-BE49-F238E27FC236}">
              <a16:creationId xmlns:a16="http://schemas.microsoft.com/office/drawing/2014/main" id="{00000000-0008-0000-0000-000066000000}"/>
            </a:ext>
          </a:extLst>
        </xdr:cNvPr>
        <xdr:cNvSpPr>
          <a:spLocks noChangeArrowheads="1"/>
        </xdr:cNvSpPr>
      </xdr:nvSpPr>
      <xdr:spPr bwMode="auto">
        <a:xfrm>
          <a:off x="2076450" y="108889800"/>
          <a:ext cx="228600" cy="228600"/>
        </a:xfrm>
        <a:prstGeom prst="ellipse">
          <a:avLst/>
        </a:prstGeom>
        <a:noFill/>
        <a:ln w="9525">
          <a:solidFill>
            <a:srgbClr val="000000"/>
          </a:solidFill>
          <a:round/>
          <a:headEnd/>
          <a:tailEnd/>
        </a:ln>
      </xdr:spPr>
    </xdr:sp>
    <xdr:clientData/>
  </xdr:twoCellAnchor>
  <xdr:twoCellAnchor>
    <xdr:from>
      <xdr:col>1</xdr:col>
      <xdr:colOff>790575</xdr:colOff>
      <xdr:row>172</xdr:row>
      <xdr:rowOff>1009650</xdr:rowOff>
    </xdr:from>
    <xdr:to>
      <xdr:col>1</xdr:col>
      <xdr:colOff>1019175</xdr:colOff>
      <xdr:row>172</xdr:row>
      <xdr:rowOff>1238250</xdr:rowOff>
    </xdr:to>
    <xdr:sp macro="" textlink="">
      <xdr:nvSpPr>
        <xdr:cNvPr id="103" name="Oval 383">
          <a:extLst>
            <a:ext uri="{FF2B5EF4-FFF2-40B4-BE49-F238E27FC236}">
              <a16:creationId xmlns:a16="http://schemas.microsoft.com/office/drawing/2014/main" id="{00000000-0008-0000-0000-000067000000}"/>
            </a:ext>
          </a:extLst>
        </xdr:cNvPr>
        <xdr:cNvSpPr>
          <a:spLocks noChangeArrowheads="1"/>
        </xdr:cNvSpPr>
      </xdr:nvSpPr>
      <xdr:spPr bwMode="auto">
        <a:xfrm>
          <a:off x="2790825" y="108775500"/>
          <a:ext cx="228600" cy="228600"/>
        </a:xfrm>
        <a:prstGeom prst="ellipse">
          <a:avLst/>
        </a:prstGeom>
        <a:noFill/>
        <a:ln w="9525">
          <a:solidFill>
            <a:srgbClr val="000000"/>
          </a:solidFill>
          <a:round/>
          <a:headEnd/>
          <a:tailEnd/>
        </a:ln>
      </xdr:spPr>
    </xdr:sp>
    <xdr:clientData/>
  </xdr:twoCellAnchor>
  <xdr:twoCellAnchor>
    <xdr:from>
      <xdr:col>1</xdr:col>
      <xdr:colOff>781050</xdr:colOff>
      <xdr:row>172</xdr:row>
      <xdr:rowOff>1123950</xdr:rowOff>
    </xdr:from>
    <xdr:to>
      <xdr:col>1</xdr:col>
      <xdr:colOff>1009650</xdr:colOff>
      <xdr:row>172</xdr:row>
      <xdr:rowOff>1352550</xdr:rowOff>
    </xdr:to>
    <xdr:sp macro="" textlink="">
      <xdr:nvSpPr>
        <xdr:cNvPr id="104" name="Oval 384">
          <a:extLst>
            <a:ext uri="{FF2B5EF4-FFF2-40B4-BE49-F238E27FC236}">
              <a16:creationId xmlns:a16="http://schemas.microsoft.com/office/drawing/2014/main" id="{00000000-0008-0000-0000-000068000000}"/>
            </a:ext>
          </a:extLst>
        </xdr:cNvPr>
        <xdr:cNvSpPr>
          <a:spLocks noChangeArrowheads="1"/>
        </xdr:cNvSpPr>
      </xdr:nvSpPr>
      <xdr:spPr bwMode="auto">
        <a:xfrm>
          <a:off x="2781300" y="108889800"/>
          <a:ext cx="228600" cy="228600"/>
        </a:xfrm>
        <a:prstGeom prst="ellipse">
          <a:avLst/>
        </a:prstGeom>
        <a:noFill/>
        <a:ln w="9525">
          <a:solidFill>
            <a:srgbClr val="000000"/>
          </a:solidFill>
          <a:round/>
          <a:headEnd/>
          <a:tailEnd/>
        </a:ln>
      </xdr:spPr>
    </xdr:sp>
    <xdr:clientData/>
  </xdr:twoCellAnchor>
  <xdr:twoCellAnchor>
    <xdr:from>
      <xdr:col>1</xdr:col>
      <xdr:colOff>2019300</xdr:colOff>
      <xdr:row>172</xdr:row>
      <xdr:rowOff>990600</xdr:rowOff>
    </xdr:from>
    <xdr:to>
      <xdr:col>1</xdr:col>
      <xdr:colOff>2247900</xdr:colOff>
      <xdr:row>172</xdr:row>
      <xdr:rowOff>1219200</xdr:rowOff>
    </xdr:to>
    <xdr:sp macro="" textlink="">
      <xdr:nvSpPr>
        <xdr:cNvPr id="105" name="Oval 385">
          <a:extLst>
            <a:ext uri="{FF2B5EF4-FFF2-40B4-BE49-F238E27FC236}">
              <a16:creationId xmlns:a16="http://schemas.microsoft.com/office/drawing/2014/main" id="{00000000-0008-0000-0000-000069000000}"/>
            </a:ext>
          </a:extLst>
        </xdr:cNvPr>
        <xdr:cNvSpPr>
          <a:spLocks noChangeArrowheads="1"/>
        </xdr:cNvSpPr>
      </xdr:nvSpPr>
      <xdr:spPr bwMode="auto">
        <a:xfrm>
          <a:off x="4019550" y="108756450"/>
          <a:ext cx="228600" cy="228600"/>
        </a:xfrm>
        <a:prstGeom prst="ellipse">
          <a:avLst/>
        </a:prstGeom>
        <a:noFill/>
        <a:ln w="9525">
          <a:solidFill>
            <a:srgbClr val="000000"/>
          </a:solidFill>
          <a:round/>
          <a:headEnd/>
          <a:tailEnd/>
        </a:ln>
      </xdr:spPr>
    </xdr:sp>
    <xdr:clientData/>
  </xdr:twoCellAnchor>
  <xdr:twoCellAnchor>
    <xdr:from>
      <xdr:col>1</xdr:col>
      <xdr:colOff>1352550</xdr:colOff>
      <xdr:row>172</xdr:row>
      <xdr:rowOff>1009650</xdr:rowOff>
    </xdr:from>
    <xdr:to>
      <xdr:col>1</xdr:col>
      <xdr:colOff>1581150</xdr:colOff>
      <xdr:row>172</xdr:row>
      <xdr:rowOff>1228725</xdr:rowOff>
    </xdr:to>
    <xdr:sp macro="" textlink="">
      <xdr:nvSpPr>
        <xdr:cNvPr id="106" name="Oval 386">
          <a:extLst>
            <a:ext uri="{FF2B5EF4-FFF2-40B4-BE49-F238E27FC236}">
              <a16:creationId xmlns:a16="http://schemas.microsoft.com/office/drawing/2014/main" id="{00000000-0008-0000-0000-00006A000000}"/>
            </a:ext>
          </a:extLst>
        </xdr:cNvPr>
        <xdr:cNvSpPr>
          <a:spLocks noChangeArrowheads="1"/>
        </xdr:cNvSpPr>
      </xdr:nvSpPr>
      <xdr:spPr bwMode="auto">
        <a:xfrm>
          <a:off x="3352800" y="108775500"/>
          <a:ext cx="228600" cy="219075"/>
        </a:xfrm>
        <a:prstGeom prst="ellipse">
          <a:avLst/>
        </a:prstGeom>
        <a:noFill/>
        <a:ln w="9525">
          <a:solidFill>
            <a:srgbClr val="000000"/>
          </a:solidFill>
          <a:round/>
          <a:headEnd/>
          <a:tailEnd/>
        </a:ln>
      </xdr:spPr>
    </xdr:sp>
    <xdr:clientData/>
  </xdr:twoCellAnchor>
  <xdr:twoCellAnchor>
    <xdr:from>
      <xdr:col>1</xdr:col>
      <xdr:colOff>1352550</xdr:colOff>
      <xdr:row>172</xdr:row>
      <xdr:rowOff>1123950</xdr:rowOff>
    </xdr:from>
    <xdr:to>
      <xdr:col>1</xdr:col>
      <xdr:colOff>1581150</xdr:colOff>
      <xdr:row>172</xdr:row>
      <xdr:rowOff>1352550</xdr:rowOff>
    </xdr:to>
    <xdr:sp macro="" textlink="">
      <xdr:nvSpPr>
        <xdr:cNvPr id="107" name="Oval 387">
          <a:extLst>
            <a:ext uri="{FF2B5EF4-FFF2-40B4-BE49-F238E27FC236}">
              <a16:creationId xmlns:a16="http://schemas.microsoft.com/office/drawing/2014/main" id="{00000000-0008-0000-0000-00006B000000}"/>
            </a:ext>
          </a:extLst>
        </xdr:cNvPr>
        <xdr:cNvSpPr>
          <a:spLocks noChangeArrowheads="1"/>
        </xdr:cNvSpPr>
      </xdr:nvSpPr>
      <xdr:spPr bwMode="auto">
        <a:xfrm>
          <a:off x="3352800" y="108889800"/>
          <a:ext cx="228600" cy="228600"/>
        </a:xfrm>
        <a:prstGeom prst="ellipse">
          <a:avLst/>
        </a:prstGeom>
        <a:noFill/>
        <a:ln w="9525">
          <a:solidFill>
            <a:srgbClr val="000000"/>
          </a:solidFill>
          <a:round/>
          <a:headEnd/>
          <a:tailEnd/>
        </a:ln>
      </xdr:spPr>
    </xdr:sp>
    <xdr:clientData/>
  </xdr:twoCellAnchor>
  <xdr:twoCellAnchor>
    <xdr:from>
      <xdr:col>1</xdr:col>
      <xdr:colOff>2019300</xdr:colOff>
      <xdr:row>172</xdr:row>
      <xdr:rowOff>1104900</xdr:rowOff>
    </xdr:from>
    <xdr:to>
      <xdr:col>1</xdr:col>
      <xdr:colOff>2247900</xdr:colOff>
      <xdr:row>172</xdr:row>
      <xdr:rowOff>1333500</xdr:rowOff>
    </xdr:to>
    <xdr:sp macro="" textlink="">
      <xdr:nvSpPr>
        <xdr:cNvPr id="108" name="Oval 388">
          <a:extLst>
            <a:ext uri="{FF2B5EF4-FFF2-40B4-BE49-F238E27FC236}">
              <a16:creationId xmlns:a16="http://schemas.microsoft.com/office/drawing/2014/main" id="{00000000-0008-0000-0000-00006C000000}"/>
            </a:ext>
          </a:extLst>
        </xdr:cNvPr>
        <xdr:cNvSpPr>
          <a:spLocks noChangeArrowheads="1"/>
        </xdr:cNvSpPr>
      </xdr:nvSpPr>
      <xdr:spPr bwMode="auto">
        <a:xfrm>
          <a:off x="4019550" y="108870750"/>
          <a:ext cx="228600" cy="228600"/>
        </a:xfrm>
        <a:prstGeom prst="ellipse">
          <a:avLst/>
        </a:prstGeom>
        <a:noFill/>
        <a:ln w="9525">
          <a:solidFill>
            <a:srgbClr val="000000"/>
          </a:solidFill>
          <a:round/>
          <a:headEnd/>
          <a:tailEnd/>
        </a:ln>
      </xdr:spPr>
    </xdr:sp>
    <xdr:clientData/>
  </xdr:twoCellAnchor>
  <xdr:twoCellAnchor>
    <xdr:from>
      <xdr:col>1</xdr:col>
      <xdr:colOff>266700</xdr:colOff>
      <xdr:row>172</xdr:row>
      <xdr:rowOff>1047750</xdr:rowOff>
    </xdr:from>
    <xdr:to>
      <xdr:col>1</xdr:col>
      <xdr:colOff>609600</xdr:colOff>
      <xdr:row>172</xdr:row>
      <xdr:rowOff>1276350</xdr:rowOff>
    </xdr:to>
    <xdr:sp macro="" textlink="">
      <xdr:nvSpPr>
        <xdr:cNvPr id="109" name="Text Box 389">
          <a:extLst>
            <a:ext uri="{FF2B5EF4-FFF2-40B4-BE49-F238E27FC236}">
              <a16:creationId xmlns:a16="http://schemas.microsoft.com/office/drawing/2014/main" id="{00000000-0008-0000-0000-00006D000000}"/>
            </a:ext>
          </a:extLst>
        </xdr:cNvPr>
        <xdr:cNvSpPr txBox="1">
          <a:spLocks noChangeArrowheads="1"/>
        </xdr:cNvSpPr>
      </xdr:nvSpPr>
      <xdr:spPr bwMode="auto">
        <a:xfrm>
          <a:off x="2266950" y="108813600"/>
          <a:ext cx="342900" cy="228600"/>
        </a:xfrm>
        <a:prstGeom prst="rect">
          <a:avLst/>
        </a:prstGeom>
        <a:noFill/>
        <a:ln w="9525">
          <a:noFill/>
          <a:miter lim="800000"/>
          <a:headEnd/>
          <a:tailEnd/>
        </a:ln>
      </xdr:spPr>
      <xdr:txBody>
        <a:bodyPr vertOverflow="clip" wrap="square" lIns="91440" tIns="45720" rIns="91440" bIns="45720" anchor="t" upright="1"/>
        <a:lstStyle/>
        <a:p>
          <a:pPr algn="l" rtl="0">
            <a:defRPr sz="1000"/>
          </a:pPr>
          <a:r>
            <a:rPr lang="en-US" sz="1000" b="0" i="0" u="none" strike="noStrike" baseline="0">
              <a:solidFill>
                <a:srgbClr val="000000"/>
              </a:solidFill>
              <a:latin typeface="Times New Roman"/>
              <a:cs typeface="Times New Roman"/>
            </a:rPr>
            <a:t>T1</a:t>
          </a:r>
        </a:p>
        <a:p>
          <a:pPr algn="l" rtl="0">
            <a:defRPr sz="1000"/>
          </a:pPr>
          <a:endParaRPr lang="en-US" sz="1000" b="0" i="0" u="none" strike="noStrike" baseline="0">
            <a:solidFill>
              <a:srgbClr val="000000"/>
            </a:solidFill>
            <a:latin typeface="Times New Roman"/>
            <a:cs typeface="Times New Roman"/>
          </a:endParaRPr>
        </a:p>
      </xdr:txBody>
    </xdr:sp>
    <xdr:clientData/>
  </xdr:twoCellAnchor>
  <xdr:twoCellAnchor>
    <xdr:from>
      <xdr:col>1</xdr:col>
      <xdr:colOff>1524000</xdr:colOff>
      <xdr:row>172</xdr:row>
      <xdr:rowOff>1057275</xdr:rowOff>
    </xdr:from>
    <xdr:to>
      <xdr:col>1</xdr:col>
      <xdr:colOff>1866900</xdr:colOff>
      <xdr:row>172</xdr:row>
      <xdr:rowOff>1285875</xdr:rowOff>
    </xdr:to>
    <xdr:sp macro="" textlink="">
      <xdr:nvSpPr>
        <xdr:cNvPr id="110" name="Text Box 390">
          <a:extLst>
            <a:ext uri="{FF2B5EF4-FFF2-40B4-BE49-F238E27FC236}">
              <a16:creationId xmlns:a16="http://schemas.microsoft.com/office/drawing/2014/main" id="{00000000-0008-0000-0000-00006E000000}"/>
            </a:ext>
          </a:extLst>
        </xdr:cNvPr>
        <xdr:cNvSpPr txBox="1">
          <a:spLocks noChangeArrowheads="1"/>
        </xdr:cNvSpPr>
      </xdr:nvSpPr>
      <xdr:spPr bwMode="auto">
        <a:xfrm>
          <a:off x="3524250" y="108823125"/>
          <a:ext cx="342900" cy="228600"/>
        </a:xfrm>
        <a:prstGeom prst="rect">
          <a:avLst/>
        </a:prstGeom>
        <a:noFill/>
        <a:ln w="9525">
          <a:noFill/>
          <a:miter lim="800000"/>
          <a:headEnd/>
          <a:tailEnd/>
        </a:ln>
      </xdr:spPr>
      <xdr:txBody>
        <a:bodyPr vertOverflow="clip" wrap="square" lIns="91440" tIns="45720" rIns="91440" bIns="45720" anchor="t" upright="1"/>
        <a:lstStyle/>
        <a:p>
          <a:pPr algn="l" rtl="0">
            <a:defRPr sz="1000"/>
          </a:pPr>
          <a:r>
            <a:rPr lang="en-US" sz="1000" b="0" i="0" u="none" strike="noStrike" baseline="0">
              <a:solidFill>
                <a:srgbClr val="000000"/>
              </a:solidFill>
              <a:latin typeface="Times New Roman"/>
              <a:cs typeface="Times New Roman"/>
            </a:rPr>
            <a:t>T1</a:t>
          </a:r>
        </a:p>
        <a:p>
          <a:pPr algn="l" rtl="0">
            <a:defRPr sz="1000"/>
          </a:pPr>
          <a:endParaRPr lang="en-US" sz="1000" b="0" i="0" u="none" strike="noStrike" baseline="0">
            <a:solidFill>
              <a:srgbClr val="000000"/>
            </a:solidFill>
            <a:latin typeface="Times New Roman"/>
            <a:cs typeface="Times New Roman"/>
          </a:endParaRPr>
        </a:p>
      </xdr:txBody>
    </xdr:sp>
    <xdr:clientData/>
  </xdr:twoCellAnchor>
  <xdr:twoCellAnchor>
    <xdr:from>
      <xdr:col>1</xdr:col>
      <xdr:colOff>962025</xdr:colOff>
      <xdr:row>172</xdr:row>
      <xdr:rowOff>1047750</xdr:rowOff>
    </xdr:from>
    <xdr:to>
      <xdr:col>1</xdr:col>
      <xdr:colOff>1304925</xdr:colOff>
      <xdr:row>172</xdr:row>
      <xdr:rowOff>1276350</xdr:rowOff>
    </xdr:to>
    <xdr:sp macro="" textlink="">
      <xdr:nvSpPr>
        <xdr:cNvPr id="111" name="Text Box 391">
          <a:extLst>
            <a:ext uri="{FF2B5EF4-FFF2-40B4-BE49-F238E27FC236}">
              <a16:creationId xmlns:a16="http://schemas.microsoft.com/office/drawing/2014/main" id="{00000000-0008-0000-0000-00006F000000}"/>
            </a:ext>
          </a:extLst>
        </xdr:cNvPr>
        <xdr:cNvSpPr txBox="1">
          <a:spLocks noChangeArrowheads="1"/>
        </xdr:cNvSpPr>
      </xdr:nvSpPr>
      <xdr:spPr bwMode="auto">
        <a:xfrm>
          <a:off x="2962275" y="108813600"/>
          <a:ext cx="342900" cy="228600"/>
        </a:xfrm>
        <a:prstGeom prst="rect">
          <a:avLst/>
        </a:prstGeom>
        <a:noFill/>
        <a:ln w="9525">
          <a:noFill/>
          <a:miter lim="800000"/>
          <a:headEnd/>
          <a:tailEnd/>
        </a:ln>
      </xdr:spPr>
      <xdr:txBody>
        <a:bodyPr vertOverflow="clip" wrap="square" lIns="91440" tIns="45720" rIns="91440" bIns="45720" anchor="t" upright="1"/>
        <a:lstStyle/>
        <a:p>
          <a:pPr algn="l" rtl="0">
            <a:defRPr sz="1000"/>
          </a:pPr>
          <a:r>
            <a:rPr lang="en-US" sz="1000" b="0" i="0" u="none" strike="noStrike" baseline="0">
              <a:solidFill>
                <a:srgbClr val="000000"/>
              </a:solidFill>
              <a:latin typeface="Times New Roman"/>
              <a:cs typeface="Times New Roman"/>
            </a:rPr>
            <a:t>T2</a:t>
          </a:r>
        </a:p>
        <a:p>
          <a:pPr algn="l" rtl="0">
            <a:defRPr sz="1000"/>
          </a:pPr>
          <a:endParaRPr lang="en-US" sz="1000" b="0" i="0" u="none" strike="noStrike" baseline="0">
            <a:solidFill>
              <a:srgbClr val="000000"/>
            </a:solidFill>
            <a:latin typeface="Times New Roman"/>
            <a:cs typeface="Times New Roman"/>
          </a:endParaRPr>
        </a:p>
      </xdr:txBody>
    </xdr:sp>
    <xdr:clientData/>
  </xdr:twoCellAnchor>
  <xdr:twoCellAnchor>
    <xdr:from>
      <xdr:col>1</xdr:col>
      <xdr:colOff>2209800</xdr:colOff>
      <xdr:row>172</xdr:row>
      <xdr:rowOff>1066800</xdr:rowOff>
    </xdr:from>
    <xdr:to>
      <xdr:col>2</xdr:col>
      <xdr:colOff>19050</xdr:colOff>
      <xdr:row>172</xdr:row>
      <xdr:rowOff>1285875</xdr:rowOff>
    </xdr:to>
    <xdr:sp macro="" textlink="">
      <xdr:nvSpPr>
        <xdr:cNvPr id="112" name="Text Box 392">
          <a:extLst>
            <a:ext uri="{FF2B5EF4-FFF2-40B4-BE49-F238E27FC236}">
              <a16:creationId xmlns:a16="http://schemas.microsoft.com/office/drawing/2014/main" id="{00000000-0008-0000-0000-000070000000}"/>
            </a:ext>
          </a:extLst>
        </xdr:cNvPr>
        <xdr:cNvSpPr txBox="1">
          <a:spLocks noChangeArrowheads="1"/>
        </xdr:cNvSpPr>
      </xdr:nvSpPr>
      <xdr:spPr bwMode="auto">
        <a:xfrm>
          <a:off x="4210050" y="108832650"/>
          <a:ext cx="390525" cy="219075"/>
        </a:xfrm>
        <a:prstGeom prst="rect">
          <a:avLst/>
        </a:prstGeom>
        <a:noFill/>
        <a:ln w="9525">
          <a:noFill/>
          <a:miter lim="800000"/>
          <a:headEnd/>
          <a:tailEnd/>
        </a:ln>
      </xdr:spPr>
      <xdr:txBody>
        <a:bodyPr vertOverflow="clip" wrap="square" lIns="91440" tIns="45720" rIns="91440" bIns="45720" anchor="t" upright="1"/>
        <a:lstStyle/>
        <a:p>
          <a:pPr algn="l" rtl="0">
            <a:defRPr sz="1000"/>
          </a:pPr>
          <a:r>
            <a:rPr lang="en-US" sz="1000" b="0" i="0" u="none" strike="noStrike" baseline="0">
              <a:solidFill>
                <a:srgbClr val="000000"/>
              </a:solidFill>
              <a:latin typeface="Times New Roman"/>
              <a:cs typeface="Times New Roman"/>
            </a:rPr>
            <a:t>T2</a:t>
          </a:r>
        </a:p>
        <a:p>
          <a:pPr algn="l" rtl="0">
            <a:defRPr sz="1000"/>
          </a:pPr>
          <a:endParaRPr lang="en-US" sz="1000" b="0" i="0" u="none" strike="noStrike" baseline="0">
            <a:solidFill>
              <a:srgbClr val="000000"/>
            </a:solidFill>
            <a:latin typeface="Times New Roman"/>
            <a:cs typeface="Times New Roman"/>
          </a:endParaRPr>
        </a:p>
      </xdr:txBody>
    </xdr:sp>
    <xdr:clientData/>
  </xdr:twoCellAnchor>
  <xdr:twoCellAnchor>
    <xdr:from>
      <xdr:col>1</xdr:col>
      <xdr:colOff>762000</xdr:colOff>
      <xdr:row>172</xdr:row>
      <xdr:rowOff>85725</xdr:rowOff>
    </xdr:from>
    <xdr:to>
      <xdr:col>1</xdr:col>
      <xdr:colOff>1104900</xdr:colOff>
      <xdr:row>172</xdr:row>
      <xdr:rowOff>314325</xdr:rowOff>
    </xdr:to>
    <xdr:sp macro="" textlink="">
      <xdr:nvSpPr>
        <xdr:cNvPr id="113" name="Text Box 393">
          <a:extLst>
            <a:ext uri="{FF2B5EF4-FFF2-40B4-BE49-F238E27FC236}">
              <a16:creationId xmlns:a16="http://schemas.microsoft.com/office/drawing/2014/main" id="{00000000-0008-0000-0000-000071000000}"/>
            </a:ext>
          </a:extLst>
        </xdr:cNvPr>
        <xdr:cNvSpPr txBox="1">
          <a:spLocks noChangeArrowheads="1"/>
        </xdr:cNvSpPr>
      </xdr:nvSpPr>
      <xdr:spPr bwMode="auto">
        <a:xfrm>
          <a:off x="2762250" y="107851575"/>
          <a:ext cx="342900" cy="228600"/>
        </a:xfrm>
        <a:prstGeom prst="rect">
          <a:avLst/>
        </a:prstGeom>
        <a:noFill/>
        <a:ln w="9525">
          <a:noFill/>
          <a:miter lim="800000"/>
          <a:headEnd/>
          <a:tailEnd/>
        </a:ln>
      </xdr:spPr>
      <xdr:txBody>
        <a:bodyPr vertOverflow="clip" wrap="square" lIns="91440" tIns="45720" rIns="91440" bIns="45720" anchor="t" upright="1"/>
        <a:lstStyle/>
        <a:p>
          <a:pPr algn="l" rtl="0">
            <a:defRPr sz="1000"/>
          </a:pPr>
          <a:r>
            <a:rPr lang="en-US" sz="1000" b="0" i="0" u="none" strike="noStrike" baseline="0">
              <a:solidFill>
                <a:srgbClr val="000000"/>
              </a:solidFill>
              <a:latin typeface="Times New Roman"/>
              <a:cs typeface="Times New Roman"/>
            </a:rPr>
            <a:t>L2</a:t>
          </a:r>
        </a:p>
        <a:p>
          <a:pPr algn="l" rtl="0">
            <a:defRPr sz="1000"/>
          </a:pPr>
          <a:endParaRPr lang="en-US" sz="1000" b="0" i="0" u="none" strike="noStrike" baseline="0">
            <a:solidFill>
              <a:srgbClr val="000000"/>
            </a:solidFill>
            <a:latin typeface="Times New Roman"/>
            <a:cs typeface="Times New Roman"/>
          </a:endParaRPr>
        </a:p>
      </xdr:txBody>
    </xdr:sp>
    <xdr:clientData/>
  </xdr:twoCellAnchor>
  <xdr:twoCellAnchor>
    <xdr:from>
      <xdr:col>1</xdr:col>
      <xdr:colOff>85725</xdr:colOff>
      <xdr:row>172</xdr:row>
      <xdr:rowOff>76200</xdr:rowOff>
    </xdr:from>
    <xdr:to>
      <xdr:col>1</xdr:col>
      <xdr:colOff>428625</xdr:colOff>
      <xdr:row>172</xdr:row>
      <xdr:rowOff>304800</xdr:rowOff>
    </xdr:to>
    <xdr:sp macro="" textlink="">
      <xdr:nvSpPr>
        <xdr:cNvPr id="114" name="Text Box 394">
          <a:extLst>
            <a:ext uri="{FF2B5EF4-FFF2-40B4-BE49-F238E27FC236}">
              <a16:creationId xmlns:a16="http://schemas.microsoft.com/office/drawing/2014/main" id="{00000000-0008-0000-0000-000072000000}"/>
            </a:ext>
          </a:extLst>
        </xdr:cNvPr>
        <xdr:cNvSpPr txBox="1">
          <a:spLocks noChangeArrowheads="1"/>
        </xdr:cNvSpPr>
      </xdr:nvSpPr>
      <xdr:spPr bwMode="auto">
        <a:xfrm>
          <a:off x="2085975" y="107842050"/>
          <a:ext cx="342900" cy="228600"/>
        </a:xfrm>
        <a:prstGeom prst="rect">
          <a:avLst/>
        </a:prstGeom>
        <a:noFill/>
        <a:ln w="9525">
          <a:noFill/>
          <a:miter lim="800000"/>
          <a:headEnd/>
          <a:tailEnd/>
        </a:ln>
      </xdr:spPr>
      <xdr:txBody>
        <a:bodyPr vertOverflow="clip" wrap="square" lIns="91440" tIns="45720" rIns="91440" bIns="45720" anchor="t" upright="1"/>
        <a:lstStyle/>
        <a:p>
          <a:pPr algn="l" rtl="0">
            <a:defRPr sz="1000"/>
          </a:pPr>
          <a:r>
            <a:rPr lang="en-US" sz="1000" b="0" i="0" u="none" strike="noStrike" baseline="0">
              <a:solidFill>
                <a:srgbClr val="000000"/>
              </a:solidFill>
              <a:latin typeface="Times New Roman"/>
              <a:cs typeface="Times New Roman"/>
            </a:rPr>
            <a:t>L1</a:t>
          </a:r>
        </a:p>
        <a:p>
          <a:pPr algn="l" rtl="0">
            <a:defRPr sz="1000"/>
          </a:pPr>
          <a:endParaRPr lang="en-US" sz="1000" b="0" i="0" u="none" strike="noStrike" baseline="0">
            <a:solidFill>
              <a:srgbClr val="000000"/>
            </a:solidFill>
            <a:latin typeface="Times New Roman"/>
            <a:cs typeface="Times New Roman"/>
          </a:endParaRPr>
        </a:p>
      </xdr:txBody>
    </xdr:sp>
    <xdr:clientData/>
  </xdr:twoCellAnchor>
  <xdr:twoCellAnchor>
    <xdr:from>
      <xdr:col>1</xdr:col>
      <xdr:colOff>1352550</xdr:colOff>
      <xdr:row>172</xdr:row>
      <xdr:rowOff>85725</xdr:rowOff>
    </xdr:from>
    <xdr:to>
      <xdr:col>1</xdr:col>
      <xdr:colOff>1695450</xdr:colOff>
      <xdr:row>172</xdr:row>
      <xdr:rowOff>314325</xdr:rowOff>
    </xdr:to>
    <xdr:sp macro="" textlink="">
      <xdr:nvSpPr>
        <xdr:cNvPr id="115" name="Text Box 396">
          <a:extLst>
            <a:ext uri="{FF2B5EF4-FFF2-40B4-BE49-F238E27FC236}">
              <a16:creationId xmlns:a16="http://schemas.microsoft.com/office/drawing/2014/main" id="{00000000-0008-0000-0000-000073000000}"/>
            </a:ext>
          </a:extLst>
        </xdr:cNvPr>
        <xdr:cNvSpPr txBox="1">
          <a:spLocks noChangeArrowheads="1"/>
        </xdr:cNvSpPr>
      </xdr:nvSpPr>
      <xdr:spPr bwMode="auto">
        <a:xfrm>
          <a:off x="3352800" y="107851575"/>
          <a:ext cx="342900" cy="228600"/>
        </a:xfrm>
        <a:prstGeom prst="rect">
          <a:avLst/>
        </a:prstGeom>
        <a:noFill/>
        <a:ln w="9525">
          <a:noFill/>
          <a:miter lim="800000"/>
          <a:headEnd/>
          <a:tailEnd/>
        </a:ln>
      </xdr:spPr>
      <xdr:txBody>
        <a:bodyPr vertOverflow="clip" wrap="square" lIns="91440" tIns="45720" rIns="91440" bIns="45720" anchor="t" upright="1"/>
        <a:lstStyle/>
        <a:p>
          <a:pPr algn="l" rtl="0">
            <a:defRPr sz="1000"/>
          </a:pPr>
          <a:r>
            <a:rPr lang="en-US" sz="1000" b="0" i="0" u="none" strike="noStrike" baseline="0">
              <a:solidFill>
                <a:srgbClr val="000000"/>
              </a:solidFill>
              <a:latin typeface="Times New Roman"/>
              <a:cs typeface="Times New Roman"/>
            </a:rPr>
            <a:t>L1</a:t>
          </a:r>
        </a:p>
        <a:p>
          <a:pPr algn="l" rtl="0">
            <a:defRPr sz="1000"/>
          </a:pPr>
          <a:endParaRPr lang="en-US" sz="1000" b="0" i="0" u="none" strike="noStrike" baseline="0">
            <a:solidFill>
              <a:srgbClr val="000000"/>
            </a:solidFill>
            <a:latin typeface="Times New Roman"/>
            <a:cs typeface="Times New Roman"/>
          </a:endParaRPr>
        </a:p>
      </xdr:txBody>
    </xdr:sp>
    <xdr:clientData/>
  </xdr:twoCellAnchor>
  <xdr:twoCellAnchor>
    <xdr:from>
      <xdr:col>1</xdr:col>
      <xdr:colOff>314325</xdr:colOff>
      <xdr:row>172</xdr:row>
      <xdr:rowOff>1285875</xdr:rowOff>
    </xdr:from>
    <xdr:to>
      <xdr:col>1</xdr:col>
      <xdr:colOff>885825</xdr:colOff>
      <xdr:row>172</xdr:row>
      <xdr:rowOff>1628775</xdr:rowOff>
    </xdr:to>
    <xdr:sp macro="" textlink="">
      <xdr:nvSpPr>
        <xdr:cNvPr id="116" name="Text Box 397">
          <a:extLst>
            <a:ext uri="{FF2B5EF4-FFF2-40B4-BE49-F238E27FC236}">
              <a16:creationId xmlns:a16="http://schemas.microsoft.com/office/drawing/2014/main" id="{00000000-0008-0000-0000-000074000000}"/>
            </a:ext>
          </a:extLst>
        </xdr:cNvPr>
        <xdr:cNvSpPr txBox="1">
          <a:spLocks noChangeArrowheads="1"/>
        </xdr:cNvSpPr>
      </xdr:nvSpPr>
      <xdr:spPr bwMode="auto">
        <a:xfrm>
          <a:off x="2314575" y="109051725"/>
          <a:ext cx="571500" cy="342900"/>
        </a:xfrm>
        <a:prstGeom prst="rect">
          <a:avLst/>
        </a:prstGeom>
        <a:noFill/>
        <a:ln w="9525">
          <a:noFill/>
          <a:miter lim="800000"/>
          <a:headEnd/>
          <a:tailEnd/>
        </a:ln>
      </xdr:spPr>
      <xdr:txBody>
        <a:bodyPr vertOverflow="clip" wrap="square" lIns="91440" tIns="45720" rIns="91440" bIns="45720" anchor="t" upright="1"/>
        <a:lstStyle/>
        <a:p>
          <a:pPr algn="l" rtl="0">
            <a:defRPr sz="1000"/>
          </a:pPr>
          <a:r>
            <a:rPr lang="en-US" sz="1000" b="0" i="0" u="none" strike="noStrike" baseline="0">
              <a:solidFill>
                <a:srgbClr val="000000"/>
              </a:solidFill>
              <a:latin typeface="Times New Roman"/>
              <a:cs typeface="Times New Roman"/>
            </a:rPr>
            <a:t>,, H ”i</a:t>
          </a:r>
        </a:p>
        <a:p>
          <a:pPr algn="l" rtl="0">
            <a:defRPr sz="1000"/>
          </a:pPr>
          <a:endParaRPr lang="en-US" sz="1000" b="0" i="0" u="none" strike="noStrike" baseline="0">
            <a:solidFill>
              <a:srgbClr val="000000"/>
            </a:solidFill>
            <a:latin typeface="Times New Roman"/>
            <a:cs typeface="Times New Roman"/>
          </a:endParaRPr>
        </a:p>
      </xdr:txBody>
    </xdr:sp>
    <xdr:clientData/>
  </xdr:twoCellAnchor>
  <xdr:twoCellAnchor>
    <xdr:from>
      <xdr:col>1</xdr:col>
      <xdr:colOff>1543050</xdr:colOff>
      <xdr:row>172</xdr:row>
      <xdr:rowOff>1285875</xdr:rowOff>
    </xdr:from>
    <xdr:to>
      <xdr:col>1</xdr:col>
      <xdr:colOff>2124075</xdr:colOff>
      <xdr:row>172</xdr:row>
      <xdr:rowOff>1609725</xdr:rowOff>
    </xdr:to>
    <xdr:sp macro="" textlink="">
      <xdr:nvSpPr>
        <xdr:cNvPr id="117" name="Text Box 398">
          <a:extLst>
            <a:ext uri="{FF2B5EF4-FFF2-40B4-BE49-F238E27FC236}">
              <a16:creationId xmlns:a16="http://schemas.microsoft.com/office/drawing/2014/main" id="{00000000-0008-0000-0000-000075000000}"/>
            </a:ext>
          </a:extLst>
        </xdr:cNvPr>
        <xdr:cNvSpPr txBox="1">
          <a:spLocks noChangeArrowheads="1"/>
        </xdr:cNvSpPr>
      </xdr:nvSpPr>
      <xdr:spPr bwMode="auto">
        <a:xfrm>
          <a:off x="3543300" y="109051725"/>
          <a:ext cx="581025" cy="323850"/>
        </a:xfrm>
        <a:prstGeom prst="rect">
          <a:avLst/>
        </a:prstGeom>
        <a:noFill/>
        <a:ln w="9525">
          <a:noFill/>
          <a:miter lim="800000"/>
          <a:headEnd/>
          <a:tailEnd/>
        </a:ln>
      </xdr:spPr>
      <xdr:txBody>
        <a:bodyPr vertOverflow="clip" wrap="square" lIns="91440" tIns="45720" rIns="91440" bIns="45720" anchor="t" upright="1"/>
        <a:lstStyle/>
        <a:p>
          <a:pPr algn="l" rtl="0">
            <a:defRPr sz="1000"/>
          </a:pPr>
          <a:r>
            <a:rPr lang="en-US" sz="1000" b="0" i="0" u="none" strike="noStrike" baseline="0">
              <a:solidFill>
                <a:srgbClr val="000000"/>
              </a:solidFill>
              <a:latin typeface="Times New Roman"/>
              <a:cs typeface="Times New Roman"/>
            </a:rPr>
            <a:t>,, H ”s</a:t>
          </a:r>
        </a:p>
        <a:p>
          <a:pPr algn="l" rtl="0">
            <a:defRPr sz="1000"/>
          </a:pPr>
          <a:endParaRPr lang="en-US" sz="1000" b="0" i="0" u="none" strike="noStrike" baseline="0">
            <a:solidFill>
              <a:srgbClr val="000000"/>
            </a:solidFill>
            <a:latin typeface="Times New Roman"/>
            <a:cs typeface="Times New Roman"/>
          </a:endParaRPr>
        </a:p>
      </xdr:txBody>
    </xdr:sp>
    <xdr:clientData/>
  </xdr:twoCellAnchor>
  <xdr:twoCellAnchor>
    <xdr:from>
      <xdr:col>1</xdr:col>
      <xdr:colOff>190500</xdr:colOff>
      <xdr:row>172</xdr:row>
      <xdr:rowOff>657225</xdr:rowOff>
    </xdr:from>
    <xdr:to>
      <xdr:col>1</xdr:col>
      <xdr:colOff>190500</xdr:colOff>
      <xdr:row>172</xdr:row>
      <xdr:rowOff>1000125</xdr:rowOff>
    </xdr:to>
    <xdr:sp macro="" textlink="">
      <xdr:nvSpPr>
        <xdr:cNvPr id="118" name="Line 399">
          <a:extLst>
            <a:ext uri="{FF2B5EF4-FFF2-40B4-BE49-F238E27FC236}">
              <a16:creationId xmlns:a16="http://schemas.microsoft.com/office/drawing/2014/main" id="{00000000-0008-0000-0000-000076000000}"/>
            </a:ext>
          </a:extLst>
        </xdr:cNvPr>
        <xdr:cNvSpPr>
          <a:spLocks noChangeShapeType="1"/>
        </xdr:cNvSpPr>
      </xdr:nvSpPr>
      <xdr:spPr bwMode="auto">
        <a:xfrm>
          <a:off x="2190750" y="108423075"/>
          <a:ext cx="0" cy="342900"/>
        </a:xfrm>
        <a:prstGeom prst="line">
          <a:avLst/>
        </a:prstGeom>
        <a:noFill/>
        <a:ln w="9525">
          <a:solidFill>
            <a:srgbClr val="000000"/>
          </a:solidFill>
          <a:round/>
          <a:headEnd/>
          <a:tailEnd/>
        </a:ln>
      </xdr:spPr>
    </xdr:sp>
    <xdr:clientData/>
  </xdr:twoCellAnchor>
  <xdr:twoCellAnchor>
    <xdr:from>
      <xdr:col>1</xdr:col>
      <xdr:colOff>895350</xdr:colOff>
      <xdr:row>172</xdr:row>
      <xdr:rowOff>657225</xdr:rowOff>
    </xdr:from>
    <xdr:to>
      <xdr:col>1</xdr:col>
      <xdr:colOff>895350</xdr:colOff>
      <xdr:row>172</xdr:row>
      <xdr:rowOff>1000125</xdr:rowOff>
    </xdr:to>
    <xdr:sp macro="" textlink="">
      <xdr:nvSpPr>
        <xdr:cNvPr id="119" name="Line 400">
          <a:extLst>
            <a:ext uri="{FF2B5EF4-FFF2-40B4-BE49-F238E27FC236}">
              <a16:creationId xmlns:a16="http://schemas.microsoft.com/office/drawing/2014/main" id="{00000000-0008-0000-0000-000077000000}"/>
            </a:ext>
          </a:extLst>
        </xdr:cNvPr>
        <xdr:cNvSpPr>
          <a:spLocks noChangeShapeType="1"/>
        </xdr:cNvSpPr>
      </xdr:nvSpPr>
      <xdr:spPr bwMode="auto">
        <a:xfrm>
          <a:off x="2895600" y="108423075"/>
          <a:ext cx="0" cy="342900"/>
        </a:xfrm>
        <a:prstGeom prst="line">
          <a:avLst/>
        </a:prstGeom>
        <a:noFill/>
        <a:ln w="9525">
          <a:solidFill>
            <a:srgbClr val="000000"/>
          </a:solidFill>
          <a:round/>
          <a:headEnd/>
          <a:tailEnd/>
        </a:ln>
      </xdr:spPr>
    </xdr:sp>
    <xdr:clientData/>
  </xdr:twoCellAnchor>
  <xdr:twoCellAnchor>
    <xdr:from>
      <xdr:col>1</xdr:col>
      <xdr:colOff>2133600</xdr:colOff>
      <xdr:row>172</xdr:row>
      <xdr:rowOff>647700</xdr:rowOff>
    </xdr:from>
    <xdr:to>
      <xdr:col>1</xdr:col>
      <xdr:colOff>2133600</xdr:colOff>
      <xdr:row>172</xdr:row>
      <xdr:rowOff>990600</xdr:rowOff>
    </xdr:to>
    <xdr:sp macro="" textlink="">
      <xdr:nvSpPr>
        <xdr:cNvPr id="120" name="Line 401">
          <a:extLst>
            <a:ext uri="{FF2B5EF4-FFF2-40B4-BE49-F238E27FC236}">
              <a16:creationId xmlns:a16="http://schemas.microsoft.com/office/drawing/2014/main" id="{00000000-0008-0000-0000-000078000000}"/>
            </a:ext>
          </a:extLst>
        </xdr:cNvPr>
        <xdr:cNvSpPr>
          <a:spLocks noChangeShapeType="1"/>
        </xdr:cNvSpPr>
      </xdr:nvSpPr>
      <xdr:spPr bwMode="auto">
        <a:xfrm>
          <a:off x="4133850" y="108413550"/>
          <a:ext cx="0" cy="342900"/>
        </a:xfrm>
        <a:prstGeom prst="line">
          <a:avLst/>
        </a:prstGeom>
        <a:noFill/>
        <a:ln w="9525">
          <a:solidFill>
            <a:srgbClr val="000000"/>
          </a:solidFill>
          <a:round/>
          <a:headEnd/>
          <a:tailEnd/>
        </a:ln>
      </xdr:spPr>
    </xdr:sp>
    <xdr:clientData/>
  </xdr:twoCellAnchor>
  <xdr:twoCellAnchor>
    <xdr:from>
      <xdr:col>1</xdr:col>
      <xdr:colOff>1466850</xdr:colOff>
      <xdr:row>172</xdr:row>
      <xdr:rowOff>657225</xdr:rowOff>
    </xdr:from>
    <xdr:to>
      <xdr:col>1</xdr:col>
      <xdr:colOff>1466850</xdr:colOff>
      <xdr:row>172</xdr:row>
      <xdr:rowOff>1000125</xdr:rowOff>
    </xdr:to>
    <xdr:sp macro="" textlink="">
      <xdr:nvSpPr>
        <xdr:cNvPr id="121" name="Line 402">
          <a:extLst>
            <a:ext uri="{FF2B5EF4-FFF2-40B4-BE49-F238E27FC236}">
              <a16:creationId xmlns:a16="http://schemas.microsoft.com/office/drawing/2014/main" id="{00000000-0008-0000-0000-000079000000}"/>
            </a:ext>
          </a:extLst>
        </xdr:cNvPr>
        <xdr:cNvSpPr>
          <a:spLocks noChangeShapeType="1"/>
        </xdr:cNvSpPr>
      </xdr:nvSpPr>
      <xdr:spPr bwMode="auto">
        <a:xfrm>
          <a:off x="3467100" y="108423075"/>
          <a:ext cx="0" cy="342900"/>
        </a:xfrm>
        <a:prstGeom prst="line">
          <a:avLst/>
        </a:prstGeom>
        <a:noFill/>
        <a:ln w="9525">
          <a:solidFill>
            <a:srgbClr val="000000"/>
          </a:solidFill>
          <a:round/>
          <a:headEnd/>
          <a:tailEnd/>
        </a:ln>
      </xdr:spPr>
    </xdr:sp>
    <xdr:clientData/>
  </xdr:twoCellAnchor>
  <xdr:twoCellAnchor>
    <xdr:from>
      <xdr:col>1</xdr:col>
      <xdr:colOff>2133600</xdr:colOff>
      <xdr:row>172</xdr:row>
      <xdr:rowOff>304800</xdr:rowOff>
    </xdr:from>
    <xdr:to>
      <xdr:col>1</xdr:col>
      <xdr:colOff>2133600</xdr:colOff>
      <xdr:row>172</xdr:row>
      <xdr:rowOff>647700</xdr:rowOff>
    </xdr:to>
    <xdr:sp macro="" textlink="">
      <xdr:nvSpPr>
        <xdr:cNvPr id="122" name="Line 403">
          <a:extLst>
            <a:ext uri="{FF2B5EF4-FFF2-40B4-BE49-F238E27FC236}">
              <a16:creationId xmlns:a16="http://schemas.microsoft.com/office/drawing/2014/main" id="{00000000-0008-0000-0000-00007A000000}"/>
            </a:ext>
          </a:extLst>
        </xdr:cNvPr>
        <xdr:cNvSpPr>
          <a:spLocks noChangeShapeType="1"/>
        </xdr:cNvSpPr>
      </xdr:nvSpPr>
      <xdr:spPr bwMode="auto">
        <a:xfrm>
          <a:off x="4133850" y="108070650"/>
          <a:ext cx="0" cy="342900"/>
        </a:xfrm>
        <a:prstGeom prst="line">
          <a:avLst/>
        </a:prstGeom>
        <a:noFill/>
        <a:ln w="9525">
          <a:solidFill>
            <a:srgbClr val="000000"/>
          </a:solidFill>
          <a:round/>
          <a:headEnd/>
          <a:tailEnd/>
        </a:ln>
      </xdr:spPr>
    </xdr:sp>
    <xdr:clientData/>
  </xdr:twoCellAnchor>
  <xdr:twoCellAnchor>
    <xdr:from>
      <xdr:col>1</xdr:col>
      <xdr:colOff>1466850</xdr:colOff>
      <xdr:row>172</xdr:row>
      <xdr:rowOff>295275</xdr:rowOff>
    </xdr:from>
    <xdr:to>
      <xdr:col>1</xdr:col>
      <xdr:colOff>1466850</xdr:colOff>
      <xdr:row>172</xdr:row>
      <xdr:rowOff>638175</xdr:rowOff>
    </xdr:to>
    <xdr:sp macro="" textlink="">
      <xdr:nvSpPr>
        <xdr:cNvPr id="123" name="Line 404">
          <a:extLst>
            <a:ext uri="{FF2B5EF4-FFF2-40B4-BE49-F238E27FC236}">
              <a16:creationId xmlns:a16="http://schemas.microsoft.com/office/drawing/2014/main" id="{00000000-0008-0000-0000-00007B000000}"/>
            </a:ext>
          </a:extLst>
        </xdr:cNvPr>
        <xdr:cNvSpPr>
          <a:spLocks noChangeShapeType="1"/>
        </xdr:cNvSpPr>
      </xdr:nvSpPr>
      <xdr:spPr bwMode="auto">
        <a:xfrm>
          <a:off x="3467100" y="108061125"/>
          <a:ext cx="0" cy="342900"/>
        </a:xfrm>
        <a:prstGeom prst="line">
          <a:avLst/>
        </a:prstGeom>
        <a:noFill/>
        <a:ln w="9525">
          <a:solidFill>
            <a:srgbClr val="000000"/>
          </a:solidFill>
          <a:round/>
          <a:headEnd/>
          <a:tailEnd/>
        </a:ln>
      </xdr:spPr>
    </xdr:sp>
    <xdr:clientData/>
  </xdr:twoCellAnchor>
  <xdr:twoCellAnchor>
    <xdr:from>
      <xdr:col>1</xdr:col>
      <xdr:colOff>895350</xdr:colOff>
      <xdr:row>172</xdr:row>
      <xdr:rowOff>304800</xdr:rowOff>
    </xdr:from>
    <xdr:to>
      <xdr:col>1</xdr:col>
      <xdr:colOff>895350</xdr:colOff>
      <xdr:row>172</xdr:row>
      <xdr:rowOff>647700</xdr:rowOff>
    </xdr:to>
    <xdr:sp macro="" textlink="">
      <xdr:nvSpPr>
        <xdr:cNvPr id="124" name="Line 405">
          <a:extLst>
            <a:ext uri="{FF2B5EF4-FFF2-40B4-BE49-F238E27FC236}">
              <a16:creationId xmlns:a16="http://schemas.microsoft.com/office/drawing/2014/main" id="{00000000-0008-0000-0000-00007C000000}"/>
            </a:ext>
          </a:extLst>
        </xdr:cNvPr>
        <xdr:cNvSpPr>
          <a:spLocks noChangeShapeType="1"/>
        </xdr:cNvSpPr>
      </xdr:nvSpPr>
      <xdr:spPr bwMode="auto">
        <a:xfrm>
          <a:off x="2895600" y="108070650"/>
          <a:ext cx="0" cy="342900"/>
        </a:xfrm>
        <a:prstGeom prst="line">
          <a:avLst/>
        </a:prstGeom>
        <a:noFill/>
        <a:ln w="9525">
          <a:solidFill>
            <a:srgbClr val="000000"/>
          </a:solidFill>
          <a:round/>
          <a:headEnd/>
          <a:tailEnd/>
        </a:ln>
      </xdr:spPr>
    </xdr:sp>
    <xdr:clientData/>
  </xdr:twoCellAnchor>
  <xdr:twoCellAnchor>
    <xdr:from>
      <xdr:col>1</xdr:col>
      <xdr:colOff>190500</xdr:colOff>
      <xdr:row>172</xdr:row>
      <xdr:rowOff>304800</xdr:rowOff>
    </xdr:from>
    <xdr:to>
      <xdr:col>1</xdr:col>
      <xdr:colOff>190500</xdr:colOff>
      <xdr:row>172</xdr:row>
      <xdr:rowOff>647700</xdr:rowOff>
    </xdr:to>
    <xdr:sp macro="" textlink="">
      <xdr:nvSpPr>
        <xdr:cNvPr id="125" name="Line 406">
          <a:extLst>
            <a:ext uri="{FF2B5EF4-FFF2-40B4-BE49-F238E27FC236}">
              <a16:creationId xmlns:a16="http://schemas.microsoft.com/office/drawing/2014/main" id="{00000000-0008-0000-0000-00007D000000}"/>
            </a:ext>
          </a:extLst>
        </xdr:cNvPr>
        <xdr:cNvSpPr>
          <a:spLocks noChangeShapeType="1"/>
        </xdr:cNvSpPr>
      </xdr:nvSpPr>
      <xdr:spPr bwMode="auto">
        <a:xfrm>
          <a:off x="2190750" y="108070650"/>
          <a:ext cx="0" cy="342900"/>
        </a:xfrm>
        <a:prstGeom prst="line">
          <a:avLst/>
        </a:prstGeom>
        <a:noFill/>
        <a:ln w="9525">
          <a:solidFill>
            <a:srgbClr val="000000"/>
          </a:solidFill>
          <a:round/>
          <a:headEnd/>
          <a:tailEnd/>
        </a:ln>
      </xdr:spPr>
    </xdr:sp>
    <xdr:clientData/>
  </xdr:twoCellAnchor>
  <xdr:twoCellAnchor>
    <xdr:from>
      <xdr:col>1</xdr:col>
      <xdr:colOff>200025</xdr:colOff>
      <xdr:row>172</xdr:row>
      <xdr:rowOff>647700</xdr:rowOff>
    </xdr:from>
    <xdr:to>
      <xdr:col>1</xdr:col>
      <xdr:colOff>885825</xdr:colOff>
      <xdr:row>172</xdr:row>
      <xdr:rowOff>647700</xdr:rowOff>
    </xdr:to>
    <xdr:sp macro="" textlink="">
      <xdr:nvSpPr>
        <xdr:cNvPr id="126" name="Line 407">
          <a:extLst>
            <a:ext uri="{FF2B5EF4-FFF2-40B4-BE49-F238E27FC236}">
              <a16:creationId xmlns:a16="http://schemas.microsoft.com/office/drawing/2014/main" id="{00000000-0008-0000-0000-00007E000000}"/>
            </a:ext>
          </a:extLst>
        </xdr:cNvPr>
        <xdr:cNvSpPr>
          <a:spLocks noChangeShapeType="1"/>
        </xdr:cNvSpPr>
      </xdr:nvSpPr>
      <xdr:spPr bwMode="auto">
        <a:xfrm>
          <a:off x="2200275" y="108413550"/>
          <a:ext cx="685800" cy="0"/>
        </a:xfrm>
        <a:prstGeom prst="line">
          <a:avLst/>
        </a:prstGeom>
        <a:noFill/>
        <a:ln w="9525">
          <a:solidFill>
            <a:srgbClr val="000000"/>
          </a:solidFill>
          <a:round/>
          <a:headEnd/>
          <a:tailEnd/>
        </a:ln>
      </xdr:spPr>
    </xdr:sp>
    <xdr:clientData/>
  </xdr:twoCellAnchor>
  <xdr:twoCellAnchor>
    <xdr:from>
      <xdr:col>1</xdr:col>
      <xdr:colOff>1459230</xdr:colOff>
      <xdr:row>172</xdr:row>
      <xdr:rowOff>647700</xdr:rowOff>
    </xdr:from>
    <xdr:to>
      <xdr:col>1</xdr:col>
      <xdr:colOff>2145030</xdr:colOff>
      <xdr:row>172</xdr:row>
      <xdr:rowOff>647700</xdr:rowOff>
    </xdr:to>
    <xdr:sp macro="" textlink="">
      <xdr:nvSpPr>
        <xdr:cNvPr id="127" name="Line 408">
          <a:extLst>
            <a:ext uri="{FF2B5EF4-FFF2-40B4-BE49-F238E27FC236}">
              <a16:creationId xmlns:a16="http://schemas.microsoft.com/office/drawing/2014/main" id="{00000000-0008-0000-0000-00007F000000}"/>
            </a:ext>
          </a:extLst>
        </xdr:cNvPr>
        <xdr:cNvSpPr>
          <a:spLocks noChangeShapeType="1"/>
        </xdr:cNvSpPr>
      </xdr:nvSpPr>
      <xdr:spPr bwMode="auto">
        <a:xfrm>
          <a:off x="2068830" y="107546775"/>
          <a:ext cx="685800" cy="0"/>
        </a:xfrm>
        <a:prstGeom prst="line">
          <a:avLst/>
        </a:prstGeom>
        <a:noFill/>
        <a:ln w="9525">
          <a:solidFill>
            <a:srgbClr val="000000"/>
          </a:solidFill>
          <a:round/>
          <a:headEnd/>
          <a:tailEnd/>
        </a:ln>
      </xdr:spPr>
    </xdr:sp>
    <xdr:clientData/>
  </xdr:twoCellAnchor>
  <xdr:twoCellAnchor>
    <xdr:from>
      <xdr:col>1</xdr:col>
      <xdr:colOff>552450</xdr:colOff>
      <xdr:row>172</xdr:row>
      <xdr:rowOff>590550</xdr:rowOff>
    </xdr:from>
    <xdr:to>
      <xdr:col>1</xdr:col>
      <xdr:colOff>552450</xdr:colOff>
      <xdr:row>172</xdr:row>
      <xdr:rowOff>704850</xdr:rowOff>
    </xdr:to>
    <xdr:sp macro="" textlink="">
      <xdr:nvSpPr>
        <xdr:cNvPr id="128" name="Line 409">
          <a:extLst>
            <a:ext uri="{FF2B5EF4-FFF2-40B4-BE49-F238E27FC236}">
              <a16:creationId xmlns:a16="http://schemas.microsoft.com/office/drawing/2014/main" id="{00000000-0008-0000-0000-000080000000}"/>
            </a:ext>
          </a:extLst>
        </xdr:cNvPr>
        <xdr:cNvSpPr>
          <a:spLocks noChangeShapeType="1"/>
        </xdr:cNvSpPr>
      </xdr:nvSpPr>
      <xdr:spPr bwMode="auto">
        <a:xfrm rot="-8023077">
          <a:off x="2495550" y="108413550"/>
          <a:ext cx="114300" cy="0"/>
        </a:xfrm>
        <a:prstGeom prst="line">
          <a:avLst/>
        </a:prstGeom>
        <a:noFill/>
        <a:ln w="9525">
          <a:solidFill>
            <a:srgbClr val="000000"/>
          </a:solidFill>
          <a:round/>
          <a:headEnd/>
          <a:tailEnd/>
        </a:ln>
      </xdr:spPr>
    </xdr:sp>
    <xdr:clientData/>
  </xdr:twoCellAnchor>
  <xdr:twoCellAnchor>
    <xdr:from>
      <xdr:col>1</xdr:col>
      <xdr:colOff>495300</xdr:colOff>
      <xdr:row>172</xdr:row>
      <xdr:rowOff>638175</xdr:rowOff>
    </xdr:from>
    <xdr:to>
      <xdr:col>1</xdr:col>
      <xdr:colOff>609600</xdr:colOff>
      <xdr:row>172</xdr:row>
      <xdr:rowOff>638175</xdr:rowOff>
    </xdr:to>
    <xdr:sp macro="" textlink="">
      <xdr:nvSpPr>
        <xdr:cNvPr id="129" name="Line 410">
          <a:extLst>
            <a:ext uri="{FF2B5EF4-FFF2-40B4-BE49-F238E27FC236}">
              <a16:creationId xmlns:a16="http://schemas.microsoft.com/office/drawing/2014/main" id="{00000000-0008-0000-0000-000081000000}"/>
            </a:ext>
          </a:extLst>
        </xdr:cNvPr>
        <xdr:cNvSpPr>
          <a:spLocks noChangeShapeType="1"/>
        </xdr:cNvSpPr>
      </xdr:nvSpPr>
      <xdr:spPr bwMode="auto">
        <a:xfrm rot="8220557">
          <a:off x="2495550" y="108404025"/>
          <a:ext cx="114300" cy="0"/>
        </a:xfrm>
        <a:prstGeom prst="line">
          <a:avLst/>
        </a:prstGeom>
        <a:noFill/>
        <a:ln w="9525">
          <a:solidFill>
            <a:srgbClr val="000000"/>
          </a:solidFill>
          <a:round/>
          <a:headEnd/>
          <a:tailEnd/>
        </a:ln>
      </xdr:spPr>
    </xdr:sp>
    <xdr:clientData/>
  </xdr:twoCellAnchor>
  <xdr:twoCellAnchor>
    <xdr:from>
      <xdr:col>1</xdr:col>
      <xdr:colOff>190500</xdr:colOff>
      <xdr:row>172</xdr:row>
      <xdr:rowOff>438150</xdr:rowOff>
    </xdr:from>
    <xdr:to>
      <xdr:col>1</xdr:col>
      <xdr:colOff>190500</xdr:colOff>
      <xdr:row>172</xdr:row>
      <xdr:rowOff>552450</xdr:rowOff>
    </xdr:to>
    <xdr:sp macro="" textlink="">
      <xdr:nvSpPr>
        <xdr:cNvPr id="130" name="Line 411">
          <a:extLst>
            <a:ext uri="{FF2B5EF4-FFF2-40B4-BE49-F238E27FC236}">
              <a16:creationId xmlns:a16="http://schemas.microsoft.com/office/drawing/2014/main" id="{00000000-0008-0000-0000-000082000000}"/>
            </a:ext>
          </a:extLst>
        </xdr:cNvPr>
        <xdr:cNvSpPr>
          <a:spLocks noChangeShapeType="1"/>
        </xdr:cNvSpPr>
      </xdr:nvSpPr>
      <xdr:spPr bwMode="auto">
        <a:xfrm rot="-8023077">
          <a:off x="2133600" y="108261150"/>
          <a:ext cx="114300" cy="0"/>
        </a:xfrm>
        <a:prstGeom prst="line">
          <a:avLst/>
        </a:prstGeom>
        <a:noFill/>
        <a:ln w="9525">
          <a:solidFill>
            <a:srgbClr val="000000"/>
          </a:solidFill>
          <a:round/>
          <a:headEnd/>
          <a:tailEnd/>
        </a:ln>
      </xdr:spPr>
    </xdr:sp>
    <xdr:clientData/>
  </xdr:twoCellAnchor>
  <xdr:twoCellAnchor>
    <xdr:from>
      <xdr:col>1</xdr:col>
      <xdr:colOff>142875</xdr:colOff>
      <xdr:row>172</xdr:row>
      <xdr:rowOff>485775</xdr:rowOff>
    </xdr:from>
    <xdr:to>
      <xdr:col>1</xdr:col>
      <xdr:colOff>257175</xdr:colOff>
      <xdr:row>172</xdr:row>
      <xdr:rowOff>485775</xdr:rowOff>
    </xdr:to>
    <xdr:sp macro="" textlink="">
      <xdr:nvSpPr>
        <xdr:cNvPr id="131" name="Line 412">
          <a:extLst>
            <a:ext uri="{FF2B5EF4-FFF2-40B4-BE49-F238E27FC236}">
              <a16:creationId xmlns:a16="http://schemas.microsoft.com/office/drawing/2014/main" id="{00000000-0008-0000-0000-000083000000}"/>
            </a:ext>
          </a:extLst>
        </xdr:cNvPr>
        <xdr:cNvSpPr>
          <a:spLocks noChangeShapeType="1"/>
        </xdr:cNvSpPr>
      </xdr:nvSpPr>
      <xdr:spPr bwMode="auto">
        <a:xfrm rot="8220557">
          <a:off x="2143125" y="108251625"/>
          <a:ext cx="114300" cy="0"/>
        </a:xfrm>
        <a:prstGeom prst="line">
          <a:avLst/>
        </a:prstGeom>
        <a:noFill/>
        <a:ln w="9525">
          <a:solidFill>
            <a:srgbClr val="000000"/>
          </a:solidFill>
          <a:round/>
          <a:headEnd/>
          <a:tailEnd/>
        </a:ln>
      </xdr:spPr>
    </xdr:sp>
    <xdr:clientData/>
  </xdr:twoCellAnchor>
  <xdr:twoCellAnchor>
    <xdr:from>
      <xdr:col>1</xdr:col>
      <xdr:colOff>895350</xdr:colOff>
      <xdr:row>172</xdr:row>
      <xdr:rowOff>438150</xdr:rowOff>
    </xdr:from>
    <xdr:to>
      <xdr:col>1</xdr:col>
      <xdr:colOff>895350</xdr:colOff>
      <xdr:row>172</xdr:row>
      <xdr:rowOff>552450</xdr:rowOff>
    </xdr:to>
    <xdr:sp macro="" textlink="">
      <xdr:nvSpPr>
        <xdr:cNvPr id="132" name="Line 413">
          <a:extLst>
            <a:ext uri="{FF2B5EF4-FFF2-40B4-BE49-F238E27FC236}">
              <a16:creationId xmlns:a16="http://schemas.microsoft.com/office/drawing/2014/main" id="{00000000-0008-0000-0000-000084000000}"/>
            </a:ext>
          </a:extLst>
        </xdr:cNvPr>
        <xdr:cNvSpPr>
          <a:spLocks noChangeShapeType="1"/>
        </xdr:cNvSpPr>
      </xdr:nvSpPr>
      <xdr:spPr bwMode="auto">
        <a:xfrm rot="-8023077">
          <a:off x="2838450" y="108261150"/>
          <a:ext cx="114300" cy="0"/>
        </a:xfrm>
        <a:prstGeom prst="line">
          <a:avLst/>
        </a:prstGeom>
        <a:noFill/>
        <a:ln w="9525">
          <a:solidFill>
            <a:srgbClr val="000000"/>
          </a:solidFill>
          <a:round/>
          <a:headEnd/>
          <a:tailEnd/>
        </a:ln>
      </xdr:spPr>
    </xdr:sp>
    <xdr:clientData/>
  </xdr:twoCellAnchor>
  <xdr:twoCellAnchor>
    <xdr:from>
      <xdr:col>1</xdr:col>
      <xdr:colOff>847725</xdr:colOff>
      <xdr:row>172</xdr:row>
      <xdr:rowOff>485775</xdr:rowOff>
    </xdr:from>
    <xdr:to>
      <xdr:col>1</xdr:col>
      <xdr:colOff>962025</xdr:colOff>
      <xdr:row>172</xdr:row>
      <xdr:rowOff>495300</xdr:rowOff>
    </xdr:to>
    <xdr:sp macro="" textlink="">
      <xdr:nvSpPr>
        <xdr:cNvPr id="133" name="Line 414">
          <a:extLst>
            <a:ext uri="{FF2B5EF4-FFF2-40B4-BE49-F238E27FC236}">
              <a16:creationId xmlns:a16="http://schemas.microsoft.com/office/drawing/2014/main" id="{00000000-0008-0000-0000-000085000000}"/>
            </a:ext>
          </a:extLst>
        </xdr:cNvPr>
        <xdr:cNvSpPr>
          <a:spLocks noChangeShapeType="1"/>
        </xdr:cNvSpPr>
      </xdr:nvSpPr>
      <xdr:spPr bwMode="auto">
        <a:xfrm rot="8220557">
          <a:off x="2847975" y="108251625"/>
          <a:ext cx="114300" cy="9525"/>
        </a:xfrm>
        <a:prstGeom prst="line">
          <a:avLst/>
        </a:prstGeom>
        <a:noFill/>
        <a:ln w="9525">
          <a:solidFill>
            <a:srgbClr val="000000"/>
          </a:solidFill>
          <a:round/>
          <a:headEnd/>
          <a:tailEnd/>
        </a:ln>
      </xdr:spPr>
    </xdr:sp>
    <xdr:clientData/>
  </xdr:twoCellAnchor>
  <xdr:twoCellAnchor>
    <xdr:from>
      <xdr:col>1</xdr:col>
      <xdr:colOff>1800225</xdr:colOff>
      <xdr:row>172</xdr:row>
      <xdr:rowOff>590550</xdr:rowOff>
    </xdr:from>
    <xdr:to>
      <xdr:col>1</xdr:col>
      <xdr:colOff>1800225</xdr:colOff>
      <xdr:row>172</xdr:row>
      <xdr:rowOff>704850</xdr:rowOff>
    </xdr:to>
    <xdr:sp macro="" textlink="">
      <xdr:nvSpPr>
        <xdr:cNvPr id="134" name="Line 415">
          <a:extLst>
            <a:ext uri="{FF2B5EF4-FFF2-40B4-BE49-F238E27FC236}">
              <a16:creationId xmlns:a16="http://schemas.microsoft.com/office/drawing/2014/main" id="{00000000-0008-0000-0000-000086000000}"/>
            </a:ext>
          </a:extLst>
        </xdr:cNvPr>
        <xdr:cNvSpPr>
          <a:spLocks noChangeShapeType="1"/>
        </xdr:cNvSpPr>
      </xdr:nvSpPr>
      <xdr:spPr bwMode="auto">
        <a:xfrm rot="-8023077">
          <a:off x="3743325" y="108413550"/>
          <a:ext cx="114300" cy="0"/>
        </a:xfrm>
        <a:prstGeom prst="line">
          <a:avLst/>
        </a:prstGeom>
        <a:noFill/>
        <a:ln w="9525">
          <a:solidFill>
            <a:srgbClr val="000000"/>
          </a:solidFill>
          <a:round/>
          <a:headEnd/>
          <a:tailEnd/>
        </a:ln>
      </xdr:spPr>
    </xdr:sp>
    <xdr:clientData/>
  </xdr:twoCellAnchor>
  <xdr:twoCellAnchor>
    <xdr:from>
      <xdr:col>1</xdr:col>
      <xdr:colOff>1752600</xdr:colOff>
      <xdr:row>172</xdr:row>
      <xdr:rowOff>638175</xdr:rowOff>
    </xdr:from>
    <xdr:to>
      <xdr:col>1</xdr:col>
      <xdr:colOff>1866900</xdr:colOff>
      <xdr:row>172</xdr:row>
      <xdr:rowOff>647700</xdr:rowOff>
    </xdr:to>
    <xdr:sp macro="" textlink="">
      <xdr:nvSpPr>
        <xdr:cNvPr id="135" name="Line 416">
          <a:extLst>
            <a:ext uri="{FF2B5EF4-FFF2-40B4-BE49-F238E27FC236}">
              <a16:creationId xmlns:a16="http://schemas.microsoft.com/office/drawing/2014/main" id="{00000000-0008-0000-0000-000087000000}"/>
            </a:ext>
          </a:extLst>
        </xdr:cNvPr>
        <xdr:cNvSpPr>
          <a:spLocks noChangeShapeType="1"/>
        </xdr:cNvSpPr>
      </xdr:nvSpPr>
      <xdr:spPr bwMode="auto">
        <a:xfrm rot="8220557">
          <a:off x="3752850" y="108404025"/>
          <a:ext cx="114300" cy="9525"/>
        </a:xfrm>
        <a:prstGeom prst="line">
          <a:avLst/>
        </a:prstGeom>
        <a:noFill/>
        <a:ln w="9525">
          <a:solidFill>
            <a:srgbClr val="000000"/>
          </a:solidFill>
          <a:round/>
          <a:headEnd/>
          <a:tailEnd/>
        </a:ln>
      </xdr:spPr>
    </xdr:sp>
    <xdr:clientData/>
  </xdr:twoCellAnchor>
  <xdr:twoCellAnchor>
    <xdr:from>
      <xdr:col>1</xdr:col>
      <xdr:colOff>1466850</xdr:colOff>
      <xdr:row>172</xdr:row>
      <xdr:rowOff>800100</xdr:rowOff>
    </xdr:from>
    <xdr:to>
      <xdr:col>1</xdr:col>
      <xdr:colOff>1466850</xdr:colOff>
      <xdr:row>172</xdr:row>
      <xdr:rowOff>914400</xdr:rowOff>
    </xdr:to>
    <xdr:sp macro="" textlink="">
      <xdr:nvSpPr>
        <xdr:cNvPr id="136" name="Line 417">
          <a:extLst>
            <a:ext uri="{FF2B5EF4-FFF2-40B4-BE49-F238E27FC236}">
              <a16:creationId xmlns:a16="http://schemas.microsoft.com/office/drawing/2014/main" id="{00000000-0008-0000-0000-000088000000}"/>
            </a:ext>
          </a:extLst>
        </xdr:cNvPr>
        <xdr:cNvSpPr>
          <a:spLocks noChangeShapeType="1"/>
        </xdr:cNvSpPr>
      </xdr:nvSpPr>
      <xdr:spPr bwMode="auto">
        <a:xfrm rot="-8023077">
          <a:off x="3409950" y="108623100"/>
          <a:ext cx="114300" cy="0"/>
        </a:xfrm>
        <a:prstGeom prst="line">
          <a:avLst/>
        </a:prstGeom>
        <a:noFill/>
        <a:ln w="9525">
          <a:solidFill>
            <a:srgbClr val="000000"/>
          </a:solidFill>
          <a:round/>
          <a:headEnd/>
          <a:tailEnd/>
        </a:ln>
      </xdr:spPr>
    </xdr:sp>
    <xdr:clientData/>
  </xdr:twoCellAnchor>
  <xdr:twoCellAnchor>
    <xdr:from>
      <xdr:col>1</xdr:col>
      <xdr:colOff>1409700</xdr:colOff>
      <xdr:row>172</xdr:row>
      <xdr:rowOff>849630</xdr:rowOff>
    </xdr:from>
    <xdr:to>
      <xdr:col>1</xdr:col>
      <xdr:colOff>1524000</xdr:colOff>
      <xdr:row>172</xdr:row>
      <xdr:rowOff>853440</xdr:rowOff>
    </xdr:to>
    <xdr:sp macro="" textlink="">
      <xdr:nvSpPr>
        <xdr:cNvPr id="137" name="Line 418">
          <a:extLst>
            <a:ext uri="{FF2B5EF4-FFF2-40B4-BE49-F238E27FC236}">
              <a16:creationId xmlns:a16="http://schemas.microsoft.com/office/drawing/2014/main" id="{00000000-0008-0000-0000-000089000000}"/>
            </a:ext>
          </a:extLst>
        </xdr:cNvPr>
        <xdr:cNvSpPr>
          <a:spLocks noChangeShapeType="1"/>
        </xdr:cNvSpPr>
      </xdr:nvSpPr>
      <xdr:spPr bwMode="auto">
        <a:xfrm rot="8220557">
          <a:off x="2019300" y="107748705"/>
          <a:ext cx="114300" cy="3810"/>
        </a:xfrm>
        <a:prstGeom prst="line">
          <a:avLst/>
        </a:prstGeom>
        <a:noFill/>
        <a:ln w="9525">
          <a:solidFill>
            <a:srgbClr val="000000"/>
          </a:solidFill>
          <a:round/>
          <a:headEnd/>
          <a:tailEnd/>
        </a:ln>
      </xdr:spPr>
    </xdr:sp>
    <xdr:clientData/>
  </xdr:twoCellAnchor>
  <xdr:twoCellAnchor>
    <xdr:from>
      <xdr:col>1</xdr:col>
      <xdr:colOff>2133600</xdr:colOff>
      <xdr:row>172</xdr:row>
      <xdr:rowOff>781050</xdr:rowOff>
    </xdr:from>
    <xdr:to>
      <xdr:col>1</xdr:col>
      <xdr:colOff>2133600</xdr:colOff>
      <xdr:row>172</xdr:row>
      <xdr:rowOff>895350</xdr:rowOff>
    </xdr:to>
    <xdr:sp macro="" textlink="">
      <xdr:nvSpPr>
        <xdr:cNvPr id="138" name="Line 419">
          <a:extLst>
            <a:ext uri="{FF2B5EF4-FFF2-40B4-BE49-F238E27FC236}">
              <a16:creationId xmlns:a16="http://schemas.microsoft.com/office/drawing/2014/main" id="{00000000-0008-0000-0000-00008A000000}"/>
            </a:ext>
          </a:extLst>
        </xdr:cNvPr>
        <xdr:cNvSpPr>
          <a:spLocks noChangeShapeType="1"/>
        </xdr:cNvSpPr>
      </xdr:nvSpPr>
      <xdr:spPr bwMode="auto">
        <a:xfrm rot="-8023077">
          <a:off x="4076700" y="108604050"/>
          <a:ext cx="114300" cy="0"/>
        </a:xfrm>
        <a:prstGeom prst="line">
          <a:avLst/>
        </a:prstGeom>
        <a:noFill/>
        <a:ln w="9525">
          <a:solidFill>
            <a:srgbClr val="000000"/>
          </a:solidFill>
          <a:round/>
          <a:headEnd/>
          <a:tailEnd/>
        </a:ln>
      </xdr:spPr>
    </xdr:sp>
    <xdr:clientData/>
  </xdr:twoCellAnchor>
  <xdr:twoCellAnchor>
    <xdr:from>
      <xdr:col>1</xdr:col>
      <xdr:colOff>2085975</xdr:colOff>
      <xdr:row>172</xdr:row>
      <xdr:rowOff>838200</xdr:rowOff>
    </xdr:from>
    <xdr:to>
      <xdr:col>1</xdr:col>
      <xdr:colOff>2200275</xdr:colOff>
      <xdr:row>172</xdr:row>
      <xdr:rowOff>838200</xdr:rowOff>
    </xdr:to>
    <xdr:sp macro="" textlink="">
      <xdr:nvSpPr>
        <xdr:cNvPr id="139" name="Line 420">
          <a:extLst>
            <a:ext uri="{FF2B5EF4-FFF2-40B4-BE49-F238E27FC236}">
              <a16:creationId xmlns:a16="http://schemas.microsoft.com/office/drawing/2014/main" id="{00000000-0008-0000-0000-00008B000000}"/>
            </a:ext>
          </a:extLst>
        </xdr:cNvPr>
        <xdr:cNvSpPr>
          <a:spLocks noChangeShapeType="1"/>
        </xdr:cNvSpPr>
      </xdr:nvSpPr>
      <xdr:spPr bwMode="auto">
        <a:xfrm rot="8220557">
          <a:off x="4086225" y="108604050"/>
          <a:ext cx="114300" cy="0"/>
        </a:xfrm>
        <a:prstGeom prst="line">
          <a:avLst/>
        </a:prstGeom>
        <a:noFill/>
        <a:ln w="9525">
          <a:solidFill>
            <a:srgbClr val="000000"/>
          </a:solidFill>
          <a:round/>
          <a:headEnd/>
          <a:tailEnd/>
        </a:ln>
      </xdr:spPr>
    </xdr:sp>
    <xdr:clientData/>
  </xdr:twoCellAnchor>
  <xdr:twoCellAnchor>
    <xdr:from>
      <xdr:col>1</xdr:col>
      <xdr:colOff>2209800</xdr:colOff>
      <xdr:row>173</xdr:row>
      <xdr:rowOff>1066800</xdr:rowOff>
    </xdr:from>
    <xdr:to>
      <xdr:col>2</xdr:col>
      <xdr:colOff>19050</xdr:colOff>
      <xdr:row>173</xdr:row>
      <xdr:rowOff>1295400</xdr:rowOff>
    </xdr:to>
    <xdr:sp macro="" textlink="">
      <xdr:nvSpPr>
        <xdr:cNvPr id="140" name="Text Box 421">
          <a:extLst>
            <a:ext uri="{FF2B5EF4-FFF2-40B4-BE49-F238E27FC236}">
              <a16:creationId xmlns:a16="http://schemas.microsoft.com/office/drawing/2014/main" id="{00000000-0008-0000-0000-00008C000000}"/>
            </a:ext>
          </a:extLst>
        </xdr:cNvPr>
        <xdr:cNvSpPr txBox="1">
          <a:spLocks noChangeArrowheads="1"/>
        </xdr:cNvSpPr>
      </xdr:nvSpPr>
      <xdr:spPr bwMode="auto">
        <a:xfrm>
          <a:off x="4210050" y="111213900"/>
          <a:ext cx="390525" cy="228600"/>
        </a:xfrm>
        <a:prstGeom prst="rect">
          <a:avLst/>
        </a:prstGeom>
        <a:noFill/>
        <a:ln w="9525">
          <a:noFill/>
          <a:miter lim="800000"/>
          <a:headEnd/>
          <a:tailEnd/>
        </a:ln>
      </xdr:spPr>
      <xdr:txBody>
        <a:bodyPr vertOverflow="clip" wrap="square" lIns="91440" tIns="45720" rIns="91440" bIns="45720" anchor="t" upright="1"/>
        <a:lstStyle/>
        <a:p>
          <a:pPr algn="l" rtl="0">
            <a:defRPr sz="1000"/>
          </a:pPr>
          <a:endParaRPr lang="en-US" sz="1000" b="0" i="0" u="none" strike="noStrike" baseline="0">
            <a:solidFill>
              <a:srgbClr val="000000"/>
            </a:solidFill>
            <a:latin typeface="Times New Roman"/>
            <a:cs typeface="Times New Roman"/>
          </a:endParaRPr>
        </a:p>
        <a:p>
          <a:pPr algn="l" rtl="0">
            <a:defRPr sz="1000"/>
          </a:pPr>
          <a:endParaRPr lang="en-US" sz="1000" b="0" i="0" u="none" strike="noStrike" baseline="0">
            <a:solidFill>
              <a:srgbClr val="000000"/>
            </a:solidFill>
            <a:latin typeface="Times New Roman"/>
            <a:cs typeface="Times New Roman"/>
          </a:endParaRPr>
        </a:p>
      </xdr:txBody>
    </xdr:sp>
    <xdr:clientData/>
  </xdr:twoCellAnchor>
  <xdr:twoCellAnchor>
    <xdr:from>
      <xdr:col>1</xdr:col>
      <xdr:colOff>152400</xdr:colOff>
      <xdr:row>173</xdr:row>
      <xdr:rowOff>933450</xdr:rowOff>
    </xdr:from>
    <xdr:to>
      <xdr:col>1</xdr:col>
      <xdr:colOff>381000</xdr:colOff>
      <xdr:row>173</xdr:row>
      <xdr:rowOff>1162050</xdr:rowOff>
    </xdr:to>
    <xdr:sp macro="" textlink="">
      <xdr:nvSpPr>
        <xdr:cNvPr id="141" name="Oval 574">
          <a:extLst>
            <a:ext uri="{FF2B5EF4-FFF2-40B4-BE49-F238E27FC236}">
              <a16:creationId xmlns:a16="http://schemas.microsoft.com/office/drawing/2014/main" id="{00000000-0008-0000-0000-00008D000000}"/>
            </a:ext>
          </a:extLst>
        </xdr:cNvPr>
        <xdr:cNvSpPr>
          <a:spLocks noChangeArrowheads="1"/>
        </xdr:cNvSpPr>
      </xdr:nvSpPr>
      <xdr:spPr bwMode="auto">
        <a:xfrm>
          <a:off x="2152650" y="111080550"/>
          <a:ext cx="228600" cy="228600"/>
        </a:xfrm>
        <a:prstGeom prst="ellipse">
          <a:avLst/>
        </a:prstGeom>
        <a:noFill/>
        <a:ln w="9525">
          <a:solidFill>
            <a:srgbClr val="000000"/>
          </a:solidFill>
          <a:round/>
          <a:headEnd/>
          <a:tailEnd/>
        </a:ln>
      </xdr:spPr>
    </xdr:sp>
    <xdr:clientData/>
  </xdr:twoCellAnchor>
  <xdr:twoCellAnchor>
    <xdr:from>
      <xdr:col>1</xdr:col>
      <xdr:colOff>142875</xdr:colOff>
      <xdr:row>173</xdr:row>
      <xdr:rowOff>1047750</xdr:rowOff>
    </xdr:from>
    <xdr:to>
      <xdr:col>1</xdr:col>
      <xdr:colOff>371475</xdr:colOff>
      <xdr:row>173</xdr:row>
      <xdr:rowOff>1276350</xdr:rowOff>
    </xdr:to>
    <xdr:sp macro="" textlink="">
      <xdr:nvSpPr>
        <xdr:cNvPr id="142" name="Oval 575">
          <a:extLst>
            <a:ext uri="{FF2B5EF4-FFF2-40B4-BE49-F238E27FC236}">
              <a16:creationId xmlns:a16="http://schemas.microsoft.com/office/drawing/2014/main" id="{00000000-0008-0000-0000-00008E000000}"/>
            </a:ext>
          </a:extLst>
        </xdr:cNvPr>
        <xdr:cNvSpPr>
          <a:spLocks noChangeArrowheads="1"/>
        </xdr:cNvSpPr>
      </xdr:nvSpPr>
      <xdr:spPr bwMode="auto">
        <a:xfrm>
          <a:off x="2143125" y="111194850"/>
          <a:ext cx="228600" cy="228600"/>
        </a:xfrm>
        <a:prstGeom prst="ellipse">
          <a:avLst/>
        </a:prstGeom>
        <a:noFill/>
        <a:ln w="9525">
          <a:solidFill>
            <a:srgbClr val="000000"/>
          </a:solidFill>
          <a:round/>
          <a:headEnd/>
          <a:tailEnd/>
        </a:ln>
      </xdr:spPr>
    </xdr:sp>
    <xdr:clientData/>
  </xdr:twoCellAnchor>
  <xdr:twoCellAnchor>
    <xdr:from>
      <xdr:col>1</xdr:col>
      <xdr:colOff>857250</xdr:colOff>
      <xdr:row>173</xdr:row>
      <xdr:rowOff>933450</xdr:rowOff>
    </xdr:from>
    <xdr:to>
      <xdr:col>1</xdr:col>
      <xdr:colOff>1085850</xdr:colOff>
      <xdr:row>173</xdr:row>
      <xdr:rowOff>1162050</xdr:rowOff>
    </xdr:to>
    <xdr:sp macro="" textlink="">
      <xdr:nvSpPr>
        <xdr:cNvPr id="143" name="Oval 576">
          <a:extLst>
            <a:ext uri="{FF2B5EF4-FFF2-40B4-BE49-F238E27FC236}">
              <a16:creationId xmlns:a16="http://schemas.microsoft.com/office/drawing/2014/main" id="{00000000-0008-0000-0000-00008F000000}"/>
            </a:ext>
          </a:extLst>
        </xdr:cNvPr>
        <xdr:cNvSpPr>
          <a:spLocks noChangeArrowheads="1"/>
        </xdr:cNvSpPr>
      </xdr:nvSpPr>
      <xdr:spPr bwMode="auto">
        <a:xfrm>
          <a:off x="2857500" y="111080550"/>
          <a:ext cx="228600" cy="228600"/>
        </a:xfrm>
        <a:prstGeom prst="ellipse">
          <a:avLst/>
        </a:prstGeom>
        <a:noFill/>
        <a:ln w="9525">
          <a:solidFill>
            <a:srgbClr val="000000"/>
          </a:solidFill>
          <a:round/>
          <a:headEnd/>
          <a:tailEnd/>
        </a:ln>
      </xdr:spPr>
    </xdr:sp>
    <xdr:clientData/>
  </xdr:twoCellAnchor>
  <xdr:twoCellAnchor>
    <xdr:from>
      <xdr:col>1</xdr:col>
      <xdr:colOff>847725</xdr:colOff>
      <xdr:row>173</xdr:row>
      <xdr:rowOff>1047750</xdr:rowOff>
    </xdr:from>
    <xdr:to>
      <xdr:col>1</xdr:col>
      <xdr:colOff>1076325</xdr:colOff>
      <xdr:row>173</xdr:row>
      <xdr:rowOff>1276350</xdr:rowOff>
    </xdr:to>
    <xdr:sp macro="" textlink="">
      <xdr:nvSpPr>
        <xdr:cNvPr id="144" name="Oval 577">
          <a:extLst>
            <a:ext uri="{FF2B5EF4-FFF2-40B4-BE49-F238E27FC236}">
              <a16:creationId xmlns:a16="http://schemas.microsoft.com/office/drawing/2014/main" id="{00000000-0008-0000-0000-000090000000}"/>
            </a:ext>
          </a:extLst>
        </xdr:cNvPr>
        <xdr:cNvSpPr>
          <a:spLocks noChangeArrowheads="1"/>
        </xdr:cNvSpPr>
      </xdr:nvSpPr>
      <xdr:spPr bwMode="auto">
        <a:xfrm>
          <a:off x="2847975" y="111194850"/>
          <a:ext cx="228600" cy="228600"/>
        </a:xfrm>
        <a:prstGeom prst="ellipse">
          <a:avLst/>
        </a:prstGeom>
        <a:noFill/>
        <a:ln w="9525">
          <a:solidFill>
            <a:srgbClr val="000000"/>
          </a:solidFill>
          <a:round/>
          <a:headEnd/>
          <a:tailEnd/>
        </a:ln>
      </xdr:spPr>
    </xdr:sp>
    <xdr:clientData/>
  </xdr:twoCellAnchor>
  <xdr:twoCellAnchor>
    <xdr:from>
      <xdr:col>1</xdr:col>
      <xdr:colOff>2085975</xdr:colOff>
      <xdr:row>173</xdr:row>
      <xdr:rowOff>914400</xdr:rowOff>
    </xdr:from>
    <xdr:to>
      <xdr:col>1</xdr:col>
      <xdr:colOff>2314575</xdr:colOff>
      <xdr:row>173</xdr:row>
      <xdr:rowOff>1143000</xdr:rowOff>
    </xdr:to>
    <xdr:sp macro="" textlink="">
      <xdr:nvSpPr>
        <xdr:cNvPr id="145" name="Oval 578">
          <a:extLst>
            <a:ext uri="{FF2B5EF4-FFF2-40B4-BE49-F238E27FC236}">
              <a16:creationId xmlns:a16="http://schemas.microsoft.com/office/drawing/2014/main" id="{00000000-0008-0000-0000-000091000000}"/>
            </a:ext>
          </a:extLst>
        </xdr:cNvPr>
        <xdr:cNvSpPr>
          <a:spLocks noChangeArrowheads="1"/>
        </xdr:cNvSpPr>
      </xdr:nvSpPr>
      <xdr:spPr bwMode="auto">
        <a:xfrm>
          <a:off x="4086225" y="111061500"/>
          <a:ext cx="228600" cy="228600"/>
        </a:xfrm>
        <a:prstGeom prst="ellipse">
          <a:avLst/>
        </a:prstGeom>
        <a:noFill/>
        <a:ln w="9525">
          <a:solidFill>
            <a:srgbClr val="000000"/>
          </a:solidFill>
          <a:round/>
          <a:headEnd/>
          <a:tailEnd/>
        </a:ln>
      </xdr:spPr>
    </xdr:sp>
    <xdr:clientData/>
  </xdr:twoCellAnchor>
  <xdr:twoCellAnchor>
    <xdr:from>
      <xdr:col>1</xdr:col>
      <xdr:colOff>1419225</xdr:colOff>
      <xdr:row>173</xdr:row>
      <xdr:rowOff>933450</xdr:rowOff>
    </xdr:from>
    <xdr:to>
      <xdr:col>1</xdr:col>
      <xdr:colOff>1647825</xdr:colOff>
      <xdr:row>173</xdr:row>
      <xdr:rowOff>1162050</xdr:rowOff>
    </xdr:to>
    <xdr:sp macro="" textlink="">
      <xdr:nvSpPr>
        <xdr:cNvPr id="146" name="Oval 579">
          <a:extLst>
            <a:ext uri="{FF2B5EF4-FFF2-40B4-BE49-F238E27FC236}">
              <a16:creationId xmlns:a16="http://schemas.microsoft.com/office/drawing/2014/main" id="{00000000-0008-0000-0000-000092000000}"/>
            </a:ext>
          </a:extLst>
        </xdr:cNvPr>
        <xdr:cNvSpPr>
          <a:spLocks noChangeArrowheads="1"/>
        </xdr:cNvSpPr>
      </xdr:nvSpPr>
      <xdr:spPr bwMode="auto">
        <a:xfrm>
          <a:off x="3419475" y="111080550"/>
          <a:ext cx="228600" cy="228600"/>
        </a:xfrm>
        <a:prstGeom prst="ellipse">
          <a:avLst/>
        </a:prstGeom>
        <a:noFill/>
        <a:ln w="9525">
          <a:solidFill>
            <a:srgbClr val="000000"/>
          </a:solidFill>
          <a:round/>
          <a:headEnd/>
          <a:tailEnd/>
        </a:ln>
      </xdr:spPr>
    </xdr:sp>
    <xdr:clientData/>
  </xdr:twoCellAnchor>
  <xdr:twoCellAnchor>
    <xdr:from>
      <xdr:col>1</xdr:col>
      <xdr:colOff>1419225</xdr:colOff>
      <xdr:row>173</xdr:row>
      <xdr:rowOff>1047750</xdr:rowOff>
    </xdr:from>
    <xdr:to>
      <xdr:col>1</xdr:col>
      <xdr:colOff>1647825</xdr:colOff>
      <xdr:row>173</xdr:row>
      <xdr:rowOff>1276350</xdr:rowOff>
    </xdr:to>
    <xdr:sp macro="" textlink="">
      <xdr:nvSpPr>
        <xdr:cNvPr id="147" name="Oval 580">
          <a:extLst>
            <a:ext uri="{FF2B5EF4-FFF2-40B4-BE49-F238E27FC236}">
              <a16:creationId xmlns:a16="http://schemas.microsoft.com/office/drawing/2014/main" id="{00000000-0008-0000-0000-000093000000}"/>
            </a:ext>
          </a:extLst>
        </xdr:cNvPr>
        <xdr:cNvSpPr>
          <a:spLocks noChangeArrowheads="1"/>
        </xdr:cNvSpPr>
      </xdr:nvSpPr>
      <xdr:spPr bwMode="auto">
        <a:xfrm>
          <a:off x="3419475" y="111194850"/>
          <a:ext cx="228600" cy="228600"/>
        </a:xfrm>
        <a:prstGeom prst="ellipse">
          <a:avLst/>
        </a:prstGeom>
        <a:noFill/>
        <a:ln w="9525">
          <a:solidFill>
            <a:srgbClr val="000000"/>
          </a:solidFill>
          <a:round/>
          <a:headEnd/>
          <a:tailEnd/>
        </a:ln>
      </xdr:spPr>
    </xdr:sp>
    <xdr:clientData/>
  </xdr:twoCellAnchor>
  <xdr:twoCellAnchor>
    <xdr:from>
      <xdr:col>1</xdr:col>
      <xdr:colOff>2085975</xdr:colOff>
      <xdr:row>173</xdr:row>
      <xdr:rowOff>1028700</xdr:rowOff>
    </xdr:from>
    <xdr:to>
      <xdr:col>1</xdr:col>
      <xdr:colOff>2314575</xdr:colOff>
      <xdr:row>173</xdr:row>
      <xdr:rowOff>1257300</xdr:rowOff>
    </xdr:to>
    <xdr:sp macro="" textlink="">
      <xdr:nvSpPr>
        <xdr:cNvPr id="148" name="Oval 581">
          <a:extLst>
            <a:ext uri="{FF2B5EF4-FFF2-40B4-BE49-F238E27FC236}">
              <a16:creationId xmlns:a16="http://schemas.microsoft.com/office/drawing/2014/main" id="{00000000-0008-0000-0000-000094000000}"/>
            </a:ext>
          </a:extLst>
        </xdr:cNvPr>
        <xdr:cNvSpPr>
          <a:spLocks noChangeArrowheads="1"/>
        </xdr:cNvSpPr>
      </xdr:nvSpPr>
      <xdr:spPr bwMode="auto">
        <a:xfrm>
          <a:off x="4086225" y="111175800"/>
          <a:ext cx="228600" cy="228600"/>
        </a:xfrm>
        <a:prstGeom prst="ellipse">
          <a:avLst/>
        </a:prstGeom>
        <a:noFill/>
        <a:ln w="9525">
          <a:solidFill>
            <a:srgbClr val="000000"/>
          </a:solidFill>
          <a:round/>
          <a:headEnd/>
          <a:tailEnd/>
        </a:ln>
      </xdr:spPr>
    </xdr:sp>
    <xdr:clientData/>
  </xdr:twoCellAnchor>
  <xdr:twoCellAnchor>
    <xdr:from>
      <xdr:col>1</xdr:col>
      <xdr:colOff>333375</xdr:colOff>
      <xdr:row>173</xdr:row>
      <xdr:rowOff>981075</xdr:rowOff>
    </xdr:from>
    <xdr:to>
      <xdr:col>1</xdr:col>
      <xdr:colOff>676275</xdr:colOff>
      <xdr:row>173</xdr:row>
      <xdr:rowOff>1209675</xdr:rowOff>
    </xdr:to>
    <xdr:sp macro="" textlink="">
      <xdr:nvSpPr>
        <xdr:cNvPr id="149" name="Text Box 582">
          <a:extLst>
            <a:ext uri="{FF2B5EF4-FFF2-40B4-BE49-F238E27FC236}">
              <a16:creationId xmlns:a16="http://schemas.microsoft.com/office/drawing/2014/main" id="{00000000-0008-0000-0000-000095000000}"/>
            </a:ext>
          </a:extLst>
        </xdr:cNvPr>
        <xdr:cNvSpPr txBox="1">
          <a:spLocks noChangeArrowheads="1"/>
        </xdr:cNvSpPr>
      </xdr:nvSpPr>
      <xdr:spPr bwMode="auto">
        <a:xfrm>
          <a:off x="2333625" y="111128175"/>
          <a:ext cx="342900" cy="228600"/>
        </a:xfrm>
        <a:prstGeom prst="rect">
          <a:avLst/>
        </a:prstGeom>
        <a:noFill/>
        <a:ln w="9525">
          <a:noFill/>
          <a:miter lim="800000"/>
          <a:headEnd/>
          <a:tailEnd/>
        </a:ln>
      </xdr:spPr>
      <xdr:txBody>
        <a:bodyPr vertOverflow="clip" wrap="square" lIns="91440" tIns="45720" rIns="91440" bIns="45720" anchor="t" upright="1"/>
        <a:lstStyle/>
        <a:p>
          <a:pPr algn="l" rtl="0">
            <a:defRPr sz="1000"/>
          </a:pPr>
          <a:r>
            <a:rPr lang="en-US" sz="1000" b="0" i="0" u="none" strike="noStrike" baseline="0">
              <a:solidFill>
                <a:srgbClr val="000000"/>
              </a:solidFill>
              <a:latin typeface="Times New Roman"/>
              <a:cs typeface="Times New Roman"/>
            </a:rPr>
            <a:t>T1</a:t>
          </a:r>
        </a:p>
        <a:p>
          <a:pPr algn="l" rtl="0">
            <a:defRPr sz="1000"/>
          </a:pPr>
          <a:endParaRPr lang="en-US" sz="1000" b="0" i="0" u="none" strike="noStrike" baseline="0">
            <a:solidFill>
              <a:srgbClr val="000000"/>
            </a:solidFill>
            <a:latin typeface="Times New Roman"/>
            <a:cs typeface="Times New Roman"/>
          </a:endParaRPr>
        </a:p>
      </xdr:txBody>
    </xdr:sp>
    <xdr:clientData/>
  </xdr:twoCellAnchor>
  <xdr:twoCellAnchor>
    <xdr:from>
      <xdr:col>1</xdr:col>
      <xdr:colOff>1590675</xdr:colOff>
      <xdr:row>173</xdr:row>
      <xdr:rowOff>990600</xdr:rowOff>
    </xdr:from>
    <xdr:to>
      <xdr:col>1</xdr:col>
      <xdr:colOff>1933575</xdr:colOff>
      <xdr:row>173</xdr:row>
      <xdr:rowOff>1219200</xdr:rowOff>
    </xdr:to>
    <xdr:sp macro="" textlink="">
      <xdr:nvSpPr>
        <xdr:cNvPr id="150" name="Text Box 583">
          <a:extLst>
            <a:ext uri="{FF2B5EF4-FFF2-40B4-BE49-F238E27FC236}">
              <a16:creationId xmlns:a16="http://schemas.microsoft.com/office/drawing/2014/main" id="{00000000-0008-0000-0000-000096000000}"/>
            </a:ext>
          </a:extLst>
        </xdr:cNvPr>
        <xdr:cNvSpPr txBox="1">
          <a:spLocks noChangeArrowheads="1"/>
        </xdr:cNvSpPr>
      </xdr:nvSpPr>
      <xdr:spPr bwMode="auto">
        <a:xfrm>
          <a:off x="3590925" y="111137700"/>
          <a:ext cx="342900" cy="228600"/>
        </a:xfrm>
        <a:prstGeom prst="rect">
          <a:avLst/>
        </a:prstGeom>
        <a:noFill/>
        <a:ln w="9525">
          <a:noFill/>
          <a:miter lim="800000"/>
          <a:headEnd/>
          <a:tailEnd/>
        </a:ln>
      </xdr:spPr>
      <xdr:txBody>
        <a:bodyPr vertOverflow="clip" wrap="square" lIns="91440" tIns="45720" rIns="91440" bIns="45720" anchor="t" upright="1"/>
        <a:lstStyle/>
        <a:p>
          <a:pPr algn="l" rtl="0">
            <a:defRPr sz="1000"/>
          </a:pPr>
          <a:r>
            <a:rPr lang="en-US" sz="1000" b="0" i="0" u="none" strike="noStrike" baseline="0">
              <a:solidFill>
                <a:srgbClr val="000000"/>
              </a:solidFill>
              <a:latin typeface="Times New Roman"/>
              <a:cs typeface="Times New Roman"/>
            </a:rPr>
            <a:t>T1</a:t>
          </a:r>
        </a:p>
        <a:p>
          <a:pPr algn="l" rtl="0">
            <a:defRPr sz="1000"/>
          </a:pPr>
          <a:endParaRPr lang="en-US" sz="1000" b="0" i="0" u="none" strike="noStrike" baseline="0">
            <a:solidFill>
              <a:srgbClr val="000000"/>
            </a:solidFill>
            <a:latin typeface="Times New Roman"/>
            <a:cs typeface="Times New Roman"/>
          </a:endParaRPr>
        </a:p>
      </xdr:txBody>
    </xdr:sp>
    <xdr:clientData/>
  </xdr:twoCellAnchor>
  <xdr:twoCellAnchor>
    <xdr:from>
      <xdr:col>1</xdr:col>
      <xdr:colOff>1028700</xdr:colOff>
      <xdr:row>173</xdr:row>
      <xdr:rowOff>971550</xdr:rowOff>
    </xdr:from>
    <xdr:to>
      <xdr:col>1</xdr:col>
      <xdr:colOff>1371600</xdr:colOff>
      <xdr:row>173</xdr:row>
      <xdr:rowOff>1200150</xdr:rowOff>
    </xdr:to>
    <xdr:sp macro="" textlink="">
      <xdr:nvSpPr>
        <xdr:cNvPr id="151" name="Text Box 584">
          <a:extLst>
            <a:ext uri="{FF2B5EF4-FFF2-40B4-BE49-F238E27FC236}">
              <a16:creationId xmlns:a16="http://schemas.microsoft.com/office/drawing/2014/main" id="{00000000-0008-0000-0000-000097000000}"/>
            </a:ext>
          </a:extLst>
        </xdr:cNvPr>
        <xdr:cNvSpPr txBox="1">
          <a:spLocks noChangeArrowheads="1"/>
        </xdr:cNvSpPr>
      </xdr:nvSpPr>
      <xdr:spPr bwMode="auto">
        <a:xfrm>
          <a:off x="3028950" y="111118650"/>
          <a:ext cx="342900" cy="228600"/>
        </a:xfrm>
        <a:prstGeom prst="rect">
          <a:avLst/>
        </a:prstGeom>
        <a:noFill/>
        <a:ln w="9525">
          <a:noFill/>
          <a:miter lim="800000"/>
          <a:headEnd/>
          <a:tailEnd/>
        </a:ln>
      </xdr:spPr>
      <xdr:txBody>
        <a:bodyPr vertOverflow="clip" wrap="square" lIns="91440" tIns="45720" rIns="91440" bIns="45720" anchor="t" upright="1"/>
        <a:lstStyle/>
        <a:p>
          <a:pPr algn="l" rtl="0">
            <a:defRPr sz="1000"/>
          </a:pPr>
          <a:r>
            <a:rPr lang="en-US" sz="1000" b="0" i="0" u="none" strike="noStrike" baseline="0">
              <a:solidFill>
                <a:srgbClr val="000000"/>
              </a:solidFill>
              <a:latin typeface="Times New Roman"/>
              <a:cs typeface="Times New Roman"/>
            </a:rPr>
            <a:t>T2</a:t>
          </a:r>
        </a:p>
        <a:p>
          <a:pPr algn="l" rtl="0">
            <a:defRPr sz="1000"/>
          </a:pPr>
          <a:endParaRPr lang="en-US" sz="1000" b="0" i="0" u="none" strike="noStrike" baseline="0">
            <a:solidFill>
              <a:srgbClr val="000000"/>
            </a:solidFill>
            <a:latin typeface="Times New Roman"/>
            <a:cs typeface="Times New Roman"/>
          </a:endParaRPr>
        </a:p>
      </xdr:txBody>
    </xdr:sp>
    <xdr:clientData/>
  </xdr:twoCellAnchor>
  <xdr:twoCellAnchor>
    <xdr:from>
      <xdr:col>1</xdr:col>
      <xdr:colOff>2276475</xdr:colOff>
      <xdr:row>173</xdr:row>
      <xdr:rowOff>990600</xdr:rowOff>
    </xdr:from>
    <xdr:to>
      <xdr:col>2</xdr:col>
      <xdr:colOff>85725</xdr:colOff>
      <xdr:row>173</xdr:row>
      <xdr:rowOff>1219200</xdr:rowOff>
    </xdr:to>
    <xdr:sp macro="" textlink="">
      <xdr:nvSpPr>
        <xdr:cNvPr id="152" name="Text Box 585">
          <a:extLst>
            <a:ext uri="{FF2B5EF4-FFF2-40B4-BE49-F238E27FC236}">
              <a16:creationId xmlns:a16="http://schemas.microsoft.com/office/drawing/2014/main" id="{00000000-0008-0000-0000-000098000000}"/>
            </a:ext>
          </a:extLst>
        </xdr:cNvPr>
        <xdr:cNvSpPr txBox="1">
          <a:spLocks noChangeArrowheads="1"/>
        </xdr:cNvSpPr>
      </xdr:nvSpPr>
      <xdr:spPr bwMode="auto">
        <a:xfrm>
          <a:off x="4276725" y="111137700"/>
          <a:ext cx="390525" cy="228600"/>
        </a:xfrm>
        <a:prstGeom prst="rect">
          <a:avLst/>
        </a:prstGeom>
        <a:noFill/>
        <a:ln w="9525">
          <a:noFill/>
          <a:miter lim="800000"/>
          <a:headEnd/>
          <a:tailEnd/>
        </a:ln>
      </xdr:spPr>
      <xdr:txBody>
        <a:bodyPr vertOverflow="clip" wrap="square" lIns="91440" tIns="45720" rIns="91440" bIns="45720" anchor="t" upright="1"/>
        <a:lstStyle/>
        <a:p>
          <a:pPr algn="l" rtl="0">
            <a:defRPr sz="1000"/>
          </a:pPr>
          <a:r>
            <a:rPr lang="en-US" sz="1000" b="0" i="0" u="none" strike="noStrike" baseline="0">
              <a:solidFill>
                <a:srgbClr val="000000"/>
              </a:solidFill>
              <a:latin typeface="Times New Roman"/>
              <a:cs typeface="Times New Roman"/>
            </a:rPr>
            <a:t>T2</a:t>
          </a:r>
        </a:p>
        <a:p>
          <a:pPr algn="l" rtl="0">
            <a:defRPr sz="1000"/>
          </a:pPr>
          <a:endParaRPr lang="en-US" sz="1000" b="0" i="0" u="none" strike="noStrike" baseline="0">
            <a:solidFill>
              <a:srgbClr val="000000"/>
            </a:solidFill>
            <a:latin typeface="Times New Roman"/>
            <a:cs typeface="Times New Roman"/>
          </a:endParaRPr>
        </a:p>
      </xdr:txBody>
    </xdr:sp>
    <xdr:clientData/>
  </xdr:twoCellAnchor>
  <xdr:twoCellAnchor>
    <xdr:from>
      <xdr:col>1</xdr:col>
      <xdr:colOff>828675</xdr:colOff>
      <xdr:row>173</xdr:row>
      <xdr:rowOff>19050</xdr:rowOff>
    </xdr:from>
    <xdr:to>
      <xdr:col>1</xdr:col>
      <xdr:colOff>1171575</xdr:colOff>
      <xdr:row>173</xdr:row>
      <xdr:rowOff>247650</xdr:rowOff>
    </xdr:to>
    <xdr:sp macro="" textlink="">
      <xdr:nvSpPr>
        <xdr:cNvPr id="153" name="Text Box 586">
          <a:extLst>
            <a:ext uri="{FF2B5EF4-FFF2-40B4-BE49-F238E27FC236}">
              <a16:creationId xmlns:a16="http://schemas.microsoft.com/office/drawing/2014/main" id="{00000000-0008-0000-0000-000099000000}"/>
            </a:ext>
          </a:extLst>
        </xdr:cNvPr>
        <xdr:cNvSpPr txBox="1">
          <a:spLocks noChangeArrowheads="1"/>
        </xdr:cNvSpPr>
      </xdr:nvSpPr>
      <xdr:spPr bwMode="auto">
        <a:xfrm>
          <a:off x="2828925" y="110166150"/>
          <a:ext cx="342900" cy="228600"/>
        </a:xfrm>
        <a:prstGeom prst="rect">
          <a:avLst/>
        </a:prstGeom>
        <a:noFill/>
        <a:ln w="9525">
          <a:noFill/>
          <a:miter lim="800000"/>
          <a:headEnd/>
          <a:tailEnd/>
        </a:ln>
      </xdr:spPr>
      <xdr:txBody>
        <a:bodyPr vertOverflow="clip" wrap="square" lIns="91440" tIns="45720" rIns="91440" bIns="45720" anchor="t" upright="1"/>
        <a:lstStyle/>
        <a:p>
          <a:pPr algn="l" rtl="0">
            <a:defRPr sz="1000"/>
          </a:pPr>
          <a:r>
            <a:rPr lang="en-US" sz="1000" b="0" i="0" u="none" strike="noStrike" baseline="0">
              <a:solidFill>
                <a:srgbClr val="000000"/>
              </a:solidFill>
              <a:latin typeface="Times New Roman"/>
              <a:cs typeface="Times New Roman"/>
            </a:rPr>
            <a:t>L2</a:t>
          </a:r>
        </a:p>
        <a:p>
          <a:pPr algn="l" rtl="0">
            <a:defRPr sz="1000"/>
          </a:pPr>
          <a:endParaRPr lang="en-US" sz="1000" b="0" i="0" u="none" strike="noStrike" baseline="0">
            <a:solidFill>
              <a:srgbClr val="000000"/>
            </a:solidFill>
            <a:latin typeface="Times New Roman"/>
            <a:cs typeface="Times New Roman"/>
          </a:endParaRPr>
        </a:p>
      </xdr:txBody>
    </xdr:sp>
    <xdr:clientData/>
  </xdr:twoCellAnchor>
  <xdr:twoCellAnchor>
    <xdr:from>
      <xdr:col>1</xdr:col>
      <xdr:colOff>152400</xdr:colOff>
      <xdr:row>173</xdr:row>
      <xdr:rowOff>9525</xdr:rowOff>
    </xdr:from>
    <xdr:to>
      <xdr:col>1</xdr:col>
      <xdr:colOff>495300</xdr:colOff>
      <xdr:row>173</xdr:row>
      <xdr:rowOff>238125</xdr:rowOff>
    </xdr:to>
    <xdr:sp macro="" textlink="">
      <xdr:nvSpPr>
        <xdr:cNvPr id="154" name="Text Box 587">
          <a:extLst>
            <a:ext uri="{FF2B5EF4-FFF2-40B4-BE49-F238E27FC236}">
              <a16:creationId xmlns:a16="http://schemas.microsoft.com/office/drawing/2014/main" id="{00000000-0008-0000-0000-00009A000000}"/>
            </a:ext>
          </a:extLst>
        </xdr:cNvPr>
        <xdr:cNvSpPr txBox="1">
          <a:spLocks noChangeArrowheads="1"/>
        </xdr:cNvSpPr>
      </xdr:nvSpPr>
      <xdr:spPr bwMode="auto">
        <a:xfrm>
          <a:off x="2152650" y="110156625"/>
          <a:ext cx="342900" cy="228600"/>
        </a:xfrm>
        <a:prstGeom prst="rect">
          <a:avLst/>
        </a:prstGeom>
        <a:noFill/>
        <a:ln w="9525">
          <a:noFill/>
          <a:miter lim="800000"/>
          <a:headEnd/>
          <a:tailEnd/>
        </a:ln>
      </xdr:spPr>
      <xdr:txBody>
        <a:bodyPr vertOverflow="clip" wrap="square" lIns="91440" tIns="45720" rIns="91440" bIns="45720" anchor="t" upright="1"/>
        <a:lstStyle/>
        <a:p>
          <a:pPr algn="l" rtl="0">
            <a:defRPr sz="1000"/>
          </a:pPr>
          <a:r>
            <a:rPr lang="en-US" sz="1000" b="0" i="0" u="none" strike="noStrike" baseline="0">
              <a:solidFill>
                <a:srgbClr val="000000"/>
              </a:solidFill>
              <a:latin typeface="Times New Roman"/>
              <a:cs typeface="Times New Roman"/>
            </a:rPr>
            <a:t>L1</a:t>
          </a:r>
        </a:p>
        <a:p>
          <a:pPr algn="l" rtl="0">
            <a:defRPr sz="1000"/>
          </a:pPr>
          <a:endParaRPr lang="en-US" sz="1000" b="0" i="0" u="none" strike="noStrike" baseline="0">
            <a:solidFill>
              <a:srgbClr val="000000"/>
            </a:solidFill>
            <a:latin typeface="Times New Roman"/>
            <a:cs typeface="Times New Roman"/>
          </a:endParaRPr>
        </a:p>
      </xdr:txBody>
    </xdr:sp>
    <xdr:clientData/>
  </xdr:twoCellAnchor>
  <xdr:twoCellAnchor>
    <xdr:from>
      <xdr:col>1</xdr:col>
      <xdr:colOff>2085975</xdr:colOff>
      <xdr:row>173</xdr:row>
      <xdr:rowOff>19050</xdr:rowOff>
    </xdr:from>
    <xdr:to>
      <xdr:col>1</xdr:col>
      <xdr:colOff>2333625</xdr:colOff>
      <xdr:row>173</xdr:row>
      <xdr:rowOff>247650</xdr:rowOff>
    </xdr:to>
    <xdr:sp macro="" textlink="">
      <xdr:nvSpPr>
        <xdr:cNvPr id="155" name="Text Box 588">
          <a:extLst>
            <a:ext uri="{FF2B5EF4-FFF2-40B4-BE49-F238E27FC236}">
              <a16:creationId xmlns:a16="http://schemas.microsoft.com/office/drawing/2014/main" id="{00000000-0008-0000-0000-00009B000000}"/>
            </a:ext>
          </a:extLst>
        </xdr:cNvPr>
        <xdr:cNvSpPr txBox="1">
          <a:spLocks noChangeArrowheads="1"/>
        </xdr:cNvSpPr>
      </xdr:nvSpPr>
      <xdr:spPr bwMode="auto">
        <a:xfrm>
          <a:off x="4086225" y="110166150"/>
          <a:ext cx="247650" cy="228600"/>
        </a:xfrm>
        <a:prstGeom prst="rect">
          <a:avLst/>
        </a:prstGeom>
        <a:noFill/>
        <a:ln w="9525">
          <a:noFill/>
          <a:miter lim="800000"/>
          <a:headEnd/>
          <a:tailEnd/>
        </a:ln>
      </xdr:spPr>
      <xdr:txBody>
        <a:bodyPr vertOverflow="clip" wrap="square" lIns="91440" tIns="45720" rIns="91440" bIns="45720" anchor="t" upright="1"/>
        <a:lstStyle/>
        <a:p>
          <a:pPr algn="l" rtl="0">
            <a:defRPr sz="1000"/>
          </a:pPr>
          <a:r>
            <a:rPr lang="en-US" sz="1000" b="0" i="0" u="none" strike="noStrike" baseline="0">
              <a:solidFill>
                <a:srgbClr val="000000"/>
              </a:solidFill>
              <a:latin typeface="Times New Roman"/>
              <a:cs typeface="Times New Roman"/>
            </a:rPr>
            <a:t>L2</a:t>
          </a:r>
        </a:p>
        <a:p>
          <a:pPr algn="l" rtl="0">
            <a:defRPr sz="1000"/>
          </a:pPr>
          <a:endParaRPr lang="en-US" sz="1000" b="0" i="0" u="none" strike="noStrike" baseline="0">
            <a:solidFill>
              <a:srgbClr val="000000"/>
            </a:solidFill>
            <a:latin typeface="Times New Roman"/>
            <a:cs typeface="Times New Roman"/>
          </a:endParaRPr>
        </a:p>
      </xdr:txBody>
    </xdr:sp>
    <xdr:clientData/>
  </xdr:twoCellAnchor>
  <xdr:twoCellAnchor>
    <xdr:from>
      <xdr:col>1</xdr:col>
      <xdr:colOff>1419225</xdr:colOff>
      <xdr:row>173</xdr:row>
      <xdr:rowOff>19050</xdr:rowOff>
    </xdr:from>
    <xdr:to>
      <xdr:col>1</xdr:col>
      <xdr:colOff>1762125</xdr:colOff>
      <xdr:row>173</xdr:row>
      <xdr:rowOff>247650</xdr:rowOff>
    </xdr:to>
    <xdr:sp macro="" textlink="">
      <xdr:nvSpPr>
        <xdr:cNvPr id="156" name="Text Box 589">
          <a:extLst>
            <a:ext uri="{FF2B5EF4-FFF2-40B4-BE49-F238E27FC236}">
              <a16:creationId xmlns:a16="http://schemas.microsoft.com/office/drawing/2014/main" id="{00000000-0008-0000-0000-00009C000000}"/>
            </a:ext>
          </a:extLst>
        </xdr:cNvPr>
        <xdr:cNvSpPr txBox="1">
          <a:spLocks noChangeArrowheads="1"/>
        </xdr:cNvSpPr>
      </xdr:nvSpPr>
      <xdr:spPr bwMode="auto">
        <a:xfrm>
          <a:off x="3419475" y="110166150"/>
          <a:ext cx="342900" cy="228600"/>
        </a:xfrm>
        <a:prstGeom prst="rect">
          <a:avLst/>
        </a:prstGeom>
        <a:noFill/>
        <a:ln w="9525">
          <a:noFill/>
          <a:miter lim="800000"/>
          <a:headEnd/>
          <a:tailEnd/>
        </a:ln>
      </xdr:spPr>
      <xdr:txBody>
        <a:bodyPr vertOverflow="clip" wrap="square" lIns="91440" tIns="45720" rIns="91440" bIns="45720" anchor="t" upright="1"/>
        <a:lstStyle/>
        <a:p>
          <a:pPr algn="l" rtl="0">
            <a:defRPr sz="1000"/>
          </a:pPr>
          <a:r>
            <a:rPr lang="en-US" sz="1000" b="0" i="0" u="none" strike="noStrike" baseline="0">
              <a:solidFill>
                <a:srgbClr val="000000"/>
              </a:solidFill>
              <a:latin typeface="Times New Roman"/>
              <a:cs typeface="Times New Roman"/>
            </a:rPr>
            <a:t>L1</a:t>
          </a:r>
        </a:p>
        <a:p>
          <a:pPr algn="l" rtl="0">
            <a:defRPr sz="1000"/>
          </a:pPr>
          <a:endParaRPr lang="en-US" sz="1000" b="0" i="0" u="none" strike="noStrike" baseline="0">
            <a:solidFill>
              <a:srgbClr val="000000"/>
            </a:solidFill>
            <a:latin typeface="Times New Roman"/>
            <a:cs typeface="Times New Roman"/>
          </a:endParaRPr>
        </a:p>
      </xdr:txBody>
    </xdr:sp>
    <xdr:clientData/>
  </xdr:twoCellAnchor>
  <xdr:twoCellAnchor>
    <xdr:from>
      <xdr:col>1</xdr:col>
      <xdr:colOff>381000</xdr:colOff>
      <xdr:row>173</xdr:row>
      <xdr:rowOff>1228725</xdr:rowOff>
    </xdr:from>
    <xdr:to>
      <xdr:col>1</xdr:col>
      <xdr:colOff>952500</xdr:colOff>
      <xdr:row>173</xdr:row>
      <xdr:rowOff>1457325</xdr:rowOff>
    </xdr:to>
    <xdr:sp macro="" textlink="">
      <xdr:nvSpPr>
        <xdr:cNvPr id="157" name="Text Box 590">
          <a:extLst>
            <a:ext uri="{FF2B5EF4-FFF2-40B4-BE49-F238E27FC236}">
              <a16:creationId xmlns:a16="http://schemas.microsoft.com/office/drawing/2014/main" id="{00000000-0008-0000-0000-00009D000000}"/>
            </a:ext>
          </a:extLst>
        </xdr:cNvPr>
        <xdr:cNvSpPr txBox="1">
          <a:spLocks noChangeArrowheads="1"/>
        </xdr:cNvSpPr>
      </xdr:nvSpPr>
      <xdr:spPr bwMode="auto">
        <a:xfrm>
          <a:off x="2381250" y="111375825"/>
          <a:ext cx="571500" cy="228600"/>
        </a:xfrm>
        <a:prstGeom prst="rect">
          <a:avLst/>
        </a:prstGeom>
        <a:noFill/>
        <a:ln w="9525">
          <a:noFill/>
          <a:miter lim="800000"/>
          <a:headEnd/>
          <a:tailEnd/>
        </a:ln>
      </xdr:spPr>
      <xdr:txBody>
        <a:bodyPr vertOverflow="clip" wrap="square" lIns="91440" tIns="45720" rIns="91440" bIns="45720" anchor="t" upright="1"/>
        <a:lstStyle/>
        <a:p>
          <a:pPr algn="l" rtl="0">
            <a:defRPr sz="1000"/>
          </a:pPr>
          <a:r>
            <a:rPr lang="en-US" sz="1000" b="0" i="0" u="none" strike="noStrike" baseline="0">
              <a:solidFill>
                <a:srgbClr val="000000"/>
              </a:solidFill>
              <a:latin typeface="Times New Roman"/>
              <a:cs typeface="Times New Roman"/>
            </a:rPr>
            <a:t>,, H ”i</a:t>
          </a:r>
        </a:p>
        <a:p>
          <a:pPr algn="l" rtl="0">
            <a:defRPr sz="1000"/>
          </a:pPr>
          <a:endParaRPr lang="en-US" sz="1000" b="0" i="0" u="none" strike="noStrike" baseline="0">
            <a:solidFill>
              <a:srgbClr val="000000"/>
            </a:solidFill>
            <a:latin typeface="Times New Roman"/>
            <a:cs typeface="Times New Roman"/>
          </a:endParaRPr>
        </a:p>
      </xdr:txBody>
    </xdr:sp>
    <xdr:clientData/>
  </xdr:twoCellAnchor>
  <xdr:twoCellAnchor>
    <xdr:from>
      <xdr:col>1</xdr:col>
      <xdr:colOff>1609725</xdr:colOff>
      <xdr:row>173</xdr:row>
      <xdr:rowOff>1219200</xdr:rowOff>
    </xdr:from>
    <xdr:to>
      <xdr:col>1</xdr:col>
      <xdr:colOff>2181225</xdr:colOff>
      <xdr:row>173</xdr:row>
      <xdr:rowOff>1447800</xdr:rowOff>
    </xdr:to>
    <xdr:sp macro="" textlink="">
      <xdr:nvSpPr>
        <xdr:cNvPr id="158" name="Text Box 591">
          <a:extLst>
            <a:ext uri="{FF2B5EF4-FFF2-40B4-BE49-F238E27FC236}">
              <a16:creationId xmlns:a16="http://schemas.microsoft.com/office/drawing/2014/main" id="{00000000-0008-0000-0000-00009E000000}"/>
            </a:ext>
          </a:extLst>
        </xdr:cNvPr>
        <xdr:cNvSpPr txBox="1">
          <a:spLocks noChangeArrowheads="1"/>
        </xdr:cNvSpPr>
      </xdr:nvSpPr>
      <xdr:spPr bwMode="auto">
        <a:xfrm>
          <a:off x="3609975" y="111366300"/>
          <a:ext cx="571500" cy="228600"/>
        </a:xfrm>
        <a:prstGeom prst="rect">
          <a:avLst/>
        </a:prstGeom>
        <a:noFill/>
        <a:ln w="9525">
          <a:noFill/>
          <a:miter lim="800000"/>
          <a:headEnd/>
          <a:tailEnd/>
        </a:ln>
      </xdr:spPr>
      <xdr:txBody>
        <a:bodyPr vertOverflow="clip" wrap="square" lIns="91440" tIns="45720" rIns="91440" bIns="45720" anchor="t" upright="1"/>
        <a:lstStyle/>
        <a:p>
          <a:pPr algn="l" rtl="0">
            <a:defRPr sz="1000"/>
          </a:pPr>
          <a:r>
            <a:rPr lang="en-US" sz="1000" b="0" i="0" u="none" strike="noStrike" baseline="0">
              <a:solidFill>
                <a:srgbClr val="000000"/>
              </a:solidFill>
              <a:latin typeface="Times New Roman"/>
              <a:cs typeface="Times New Roman"/>
            </a:rPr>
            <a:t>,, H ”s</a:t>
          </a:r>
        </a:p>
        <a:p>
          <a:pPr algn="l" rtl="0">
            <a:defRPr sz="1000"/>
          </a:pPr>
          <a:endParaRPr lang="en-US" sz="1000" b="0" i="0" u="none" strike="noStrike" baseline="0">
            <a:solidFill>
              <a:srgbClr val="000000"/>
            </a:solidFill>
            <a:latin typeface="Times New Roman"/>
            <a:cs typeface="Times New Roman"/>
          </a:endParaRPr>
        </a:p>
      </xdr:txBody>
    </xdr:sp>
    <xdr:clientData/>
  </xdr:twoCellAnchor>
  <xdr:twoCellAnchor>
    <xdr:from>
      <xdr:col>1</xdr:col>
      <xdr:colOff>257175</xdr:colOff>
      <xdr:row>173</xdr:row>
      <xdr:rowOff>590550</xdr:rowOff>
    </xdr:from>
    <xdr:to>
      <xdr:col>1</xdr:col>
      <xdr:colOff>257175</xdr:colOff>
      <xdr:row>173</xdr:row>
      <xdr:rowOff>933450</xdr:rowOff>
    </xdr:to>
    <xdr:sp macro="" textlink="">
      <xdr:nvSpPr>
        <xdr:cNvPr id="159" name="Line 592">
          <a:extLst>
            <a:ext uri="{FF2B5EF4-FFF2-40B4-BE49-F238E27FC236}">
              <a16:creationId xmlns:a16="http://schemas.microsoft.com/office/drawing/2014/main" id="{00000000-0008-0000-0000-00009F000000}"/>
            </a:ext>
          </a:extLst>
        </xdr:cNvPr>
        <xdr:cNvSpPr>
          <a:spLocks noChangeShapeType="1"/>
        </xdr:cNvSpPr>
      </xdr:nvSpPr>
      <xdr:spPr bwMode="auto">
        <a:xfrm>
          <a:off x="2257425" y="110737650"/>
          <a:ext cx="0" cy="342900"/>
        </a:xfrm>
        <a:prstGeom prst="line">
          <a:avLst/>
        </a:prstGeom>
        <a:noFill/>
        <a:ln w="9525">
          <a:solidFill>
            <a:srgbClr val="000000"/>
          </a:solidFill>
          <a:round/>
          <a:headEnd/>
          <a:tailEnd/>
        </a:ln>
      </xdr:spPr>
    </xdr:sp>
    <xdr:clientData/>
  </xdr:twoCellAnchor>
  <xdr:twoCellAnchor>
    <xdr:from>
      <xdr:col>1</xdr:col>
      <xdr:colOff>962025</xdr:colOff>
      <xdr:row>173</xdr:row>
      <xdr:rowOff>590550</xdr:rowOff>
    </xdr:from>
    <xdr:to>
      <xdr:col>1</xdr:col>
      <xdr:colOff>962025</xdr:colOff>
      <xdr:row>173</xdr:row>
      <xdr:rowOff>933450</xdr:rowOff>
    </xdr:to>
    <xdr:sp macro="" textlink="">
      <xdr:nvSpPr>
        <xdr:cNvPr id="160" name="Line 593">
          <a:extLst>
            <a:ext uri="{FF2B5EF4-FFF2-40B4-BE49-F238E27FC236}">
              <a16:creationId xmlns:a16="http://schemas.microsoft.com/office/drawing/2014/main" id="{00000000-0008-0000-0000-0000A0000000}"/>
            </a:ext>
          </a:extLst>
        </xdr:cNvPr>
        <xdr:cNvSpPr>
          <a:spLocks noChangeShapeType="1"/>
        </xdr:cNvSpPr>
      </xdr:nvSpPr>
      <xdr:spPr bwMode="auto">
        <a:xfrm>
          <a:off x="2962275" y="110737650"/>
          <a:ext cx="0" cy="342900"/>
        </a:xfrm>
        <a:prstGeom prst="line">
          <a:avLst/>
        </a:prstGeom>
        <a:noFill/>
        <a:ln w="9525">
          <a:solidFill>
            <a:srgbClr val="000000"/>
          </a:solidFill>
          <a:round/>
          <a:headEnd/>
          <a:tailEnd/>
        </a:ln>
      </xdr:spPr>
    </xdr:sp>
    <xdr:clientData/>
  </xdr:twoCellAnchor>
  <xdr:twoCellAnchor>
    <xdr:from>
      <xdr:col>1</xdr:col>
      <xdr:colOff>2200275</xdr:colOff>
      <xdr:row>173</xdr:row>
      <xdr:rowOff>571500</xdr:rowOff>
    </xdr:from>
    <xdr:to>
      <xdr:col>1</xdr:col>
      <xdr:colOff>2200275</xdr:colOff>
      <xdr:row>173</xdr:row>
      <xdr:rowOff>914400</xdr:rowOff>
    </xdr:to>
    <xdr:sp macro="" textlink="">
      <xdr:nvSpPr>
        <xdr:cNvPr id="161" name="Line 594">
          <a:extLst>
            <a:ext uri="{FF2B5EF4-FFF2-40B4-BE49-F238E27FC236}">
              <a16:creationId xmlns:a16="http://schemas.microsoft.com/office/drawing/2014/main" id="{00000000-0008-0000-0000-0000A1000000}"/>
            </a:ext>
          </a:extLst>
        </xdr:cNvPr>
        <xdr:cNvSpPr>
          <a:spLocks noChangeShapeType="1"/>
        </xdr:cNvSpPr>
      </xdr:nvSpPr>
      <xdr:spPr bwMode="auto">
        <a:xfrm>
          <a:off x="4200525" y="110718600"/>
          <a:ext cx="0" cy="342900"/>
        </a:xfrm>
        <a:prstGeom prst="line">
          <a:avLst/>
        </a:prstGeom>
        <a:noFill/>
        <a:ln w="9525">
          <a:solidFill>
            <a:srgbClr val="000000"/>
          </a:solidFill>
          <a:round/>
          <a:headEnd/>
          <a:tailEnd/>
        </a:ln>
      </xdr:spPr>
    </xdr:sp>
    <xdr:clientData/>
  </xdr:twoCellAnchor>
  <xdr:twoCellAnchor>
    <xdr:from>
      <xdr:col>1</xdr:col>
      <xdr:colOff>1533525</xdr:colOff>
      <xdr:row>173</xdr:row>
      <xdr:rowOff>590550</xdr:rowOff>
    </xdr:from>
    <xdr:to>
      <xdr:col>1</xdr:col>
      <xdr:colOff>1533525</xdr:colOff>
      <xdr:row>173</xdr:row>
      <xdr:rowOff>933450</xdr:rowOff>
    </xdr:to>
    <xdr:sp macro="" textlink="">
      <xdr:nvSpPr>
        <xdr:cNvPr id="162" name="Line 595">
          <a:extLst>
            <a:ext uri="{FF2B5EF4-FFF2-40B4-BE49-F238E27FC236}">
              <a16:creationId xmlns:a16="http://schemas.microsoft.com/office/drawing/2014/main" id="{00000000-0008-0000-0000-0000A2000000}"/>
            </a:ext>
          </a:extLst>
        </xdr:cNvPr>
        <xdr:cNvSpPr>
          <a:spLocks noChangeShapeType="1"/>
        </xdr:cNvSpPr>
      </xdr:nvSpPr>
      <xdr:spPr bwMode="auto">
        <a:xfrm>
          <a:off x="3533775" y="110737650"/>
          <a:ext cx="0" cy="342900"/>
        </a:xfrm>
        <a:prstGeom prst="line">
          <a:avLst/>
        </a:prstGeom>
        <a:noFill/>
        <a:ln w="9525">
          <a:solidFill>
            <a:srgbClr val="000000"/>
          </a:solidFill>
          <a:round/>
          <a:headEnd/>
          <a:tailEnd/>
        </a:ln>
      </xdr:spPr>
    </xdr:sp>
    <xdr:clientData/>
  </xdr:twoCellAnchor>
  <xdr:twoCellAnchor>
    <xdr:from>
      <xdr:col>1</xdr:col>
      <xdr:colOff>2200275</xdr:colOff>
      <xdr:row>173</xdr:row>
      <xdr:rowOff>228600</xdr:rowOff>
    </xdr:from>
    <xdr:to>
      <xdr:col>1</xdr:col>
      <xdr:colOff>2200275</xdr:colOff>
      <xdr:row>173</xdr:row>
      <xdr:rowOff>571500</xdr:rowOff>
    </xdr:to>
    <xdr:sp macro="" textlink="">
      <xdr:nvSpPr>
        <xdr:cNvPr id="163" name="Line 596">
          <a:extLst>
            <a:ext uri="{FF2B5EF4-FFF2-40B4-BE49-F238E27FC236}">
              <a16:creationId xmlns:a16="http://schemas.microsoft.com/office/drawing/2014/main" id="{00000000-0008-0000-0000-0000A3000000}"/>
            </a:ext>
          </a:extLst>
        </xdr:cNvPr>
        <xdr:cNvSpPr>
          <a:spLocks noChangeShapeType="1"/>
        </xdr:cNvSpPr>
      </xdr:nvSpPr>
      <xdr:spPr bwMode="auto">
        <a:xfrm>
          <a:off x="4200525" y="110375700"/>
          <a:ext cx="0" cy="342900"/>
        </a:xfrm>
        <a:prstGeom prst="line">
          <a:avLst/>
        </a:prstGeom>
        <a:noFill/>
        <a:ln w="9525">
          <a:solidFill>
            <a:srgbClr val="000000"/>
          </a:solidFill>
          <a:round/>
          <a:headEnd/>
          <a:tailEnd/>
        </a:ln>
      </xdr:spPr>
    </xdr:sp>
    <xdr:clientData/>
  </xdr:twoCellAnchor>
  <xdr:twoCellAnchor>
    <xdr:from>
      <xdr:col>1</xdr:col>
      <xdr:colOff>1533525</xdr:colOff>
      <xdr:row>173</xdr:row>
      <xdr:rowOff>228600</xdr:rowOff>
    </xdr:from>
    <xdr:to>
      <xdr:col>1</xdr:col>
      <xdr:colOff>1533525</xdr:colOff>
      <xdr:row>173</xdr:row>
      <xdr:rowOff>571500</xdr:rowOff>
    </xdr:to>
    <xdr:sp macro="" textlink="">
      <xdr:nvSpPr>
        <xdr:cNvPr id="164" name="Line 597">
          <a:extLst>
            <a:ext uri="{FF2B5EF4-FFF2-40B4-BE49-F238E27FC236}">
              <a16:creationId xmlns:a16="http://schemas.microsoft.com/office/drawing/2014/main" id="{00000000-0008-0000-0000-0000A4000000}"/>
            </a:ext>
          </a:extLst>
        </xdr:cNvPr>
        <xdr:cNvSpPr>
          <a:spLocks noChangeShapeType="1"/>
        </xdr:cNvSpPr>
      </xdr:nvSpPr>
      <xdr:spPr bwMode="auto">
        <a:xfrm>
          <a:off x="3533775" y="110375700"/>
          <a:ext cx="0" cy="342900"/>
        </a:xfrm>
        <a:prstGeom prst="line">
          <a:avLst/>
        </a:prstGeom>
        <a:noFill/>
        <a:ln w="9525">
          <a:solidFill>
            <a:srgbClr val="000000"/>
          </a:solidFill>
          <a:round/>
          <a:headEnd/>
          <a:tailEnd/>
        </a:ln>
      </xdr:spPr>
    </xdr:sp>
    <xdr:clientData/>
  </xdr:twoCellAnchor>
  <xdr:twoCellAnchor>
    <xdr:from>
      <xdr:col>1</xdr:col>
      <xdr:colOff>962025</xdr:colOff>
      <xdr:row>173</xdr:row>
      <xdr:rowOff>228600</xdr:rowOff>
    </xdr:from>
    <xdr:to>
      <xdr:col>1</xdr:col>
      <xdr:colOff>962025</xdr:colOff>
      <xdr:row>173</xdr:row>
      <xdr:rowOff>571500</xdr:rowOff>
    </xdr:to>
    <xdr:sp macro="" textlink="">
      <xdr:nvSpPr>
        <xdr:cNvPr id="165" name="Line 598">
          <a:extLst>
            <a:ext uri="{FF2B5EF4-FFF2-40B4-BE49-F238E27FC236}">
              <a16:creationId xmlns:a16="http://schemas.microsoft.com/office/drawing/2014/main" id="{00000000-0008-0000-0000-0000A5000000}"/>
            </a:ext>
          </a:extLst>
        </xdr:cNvPr>
        <xdr:cNvSpPr>
          <a:spLocks noChangeShapeType="1"/>
        </xdr:cNvSpPr>
      </xdr:nvSpPr>
      <xdr:spPr bwMode="auto">
        <a:xfrm>
          <a:off x="2962275" y="110375700"/>
          <a:ext cx="0" cy="342900"/>
        </a:xfrm>
        <a:prstGeom prst="line">
          <a:avLst/>
        </a:prstGeom>
        <a:noFill/>
        <a:ln w="9525">
          <a:solidFill>
            <a:srgbClr val="000000"/>
          </a:solidFill>
          <a:round/>
          <a:headEnd/>
          <a:tailEnd/>
        </a:ln>
      </xdr:spPr>
    </xdr:sp>
    <xdr:clientData/>
  </xdr:twoCellAnchor>
  <xdr:twoCellAnchor>
    <xdr:from>
      <xdr:col>1</xdr:col>
      <xdr:colOff>257175</xdr:colOff>
      <xdr:row>173</xdr:row>
      <xdr:rowOff>228600</xdr:rowOff>
    </xdr:from>
    <xdr:to>
      <xdr:col>1</xdr:col>
      <xdr:colOff>257175</xdr:colOff>
      <xdr:row>173</xdr:row>
      <xdr:rowOff>571500</xdr:rowOff>
    </xdr:to>
    <xdr:sp macro="" textlink="">
      <xdr:nvSpPr>
        <xdr:cNvPr id="166" name="Line 599">
          <a:extLst>
            <a:ext uri="{FF2B5EF4-FFF2-40B4-BE49-F238E27FC236}">
              <a16:creationId xmlns:a16="http://schemas.microsoft.com/office/drawing/2014/main" id="{00000000-0008-0000-0000-0000A6000000}"/>
            </a:ext>
          </a:extLst>
        </xdr:cNvPr>
        <xdr:cNvSpPr>
          <a:spLocks noChangeShapeType="1"/>
        </xdr:cNvSpPr>
      </xdr:nvSpPr>
      <xdr:spPr bwMode="auto">
        <a:xfrm>
          <a:off x="2257425" y="110375700"/>
          <a:ext cx="0" cy="342900"/>
        </a:xfrm>
        <a:prstGeom prst="line">
          <a:avLst/>
        </a:prstGeom>
        <a:noFill/>
        <a:ln w="9525">
          <a:solidFill>
            <a:srgbClr val="000000"/>
          </a:solidFill>
          <a:round/>
          <a:headEnd/>
          <a:tailEnd/>
        </a:ln>
      </xdr:spPr>
    </xdr:sp>
    <xdr:clientData/>
  </xdr:twoCellAnchor>
  <xdr:twoCellAnchor>
    <xdr:from>
      <xdr:col>1</xdr:col>
      <xdr:colOff>266700</xdr:colOff>
      <xdr:row>173</xdr:row>
      <xdr:rowOff>571500</xdr:rowOff>
    </xdr:from>
    <xdr:to>
      <xdr:col>1</xdr:col>
      <xdr:colOff>952500</xdr:colOff>
      <xdr:row>173</xdr:row>
      <xdr:rowOff>571500</xdr:rowOff>
    </xdr:to>
    <xdr:sp macro="" textlink="">
      <xdr:nvSpPr>
        <xdr:cNvPr id="167" name="Line 600">
          <a:extLst>
            <a:ext uri="{FF2B5EF4-FFF2-40B4-BE49-F238E27FC236}">
              <a16:creationId xmlns:a16="http://schemas.microsoft.com/office/drawing/2014/main" id="{00000000-0008-0000-0000-0000A7000000}"/>
            </a:ext>
          </a:extLst>
        </xdr:cNvPr>
        <xdr:cNvSpPr>
          <a:spLocks noChangeShapeType="1"/>
        </xdr:cNvSpPr>
      </xdr:nvSpPr>
      <xdr:spPr bwMode="auto">
        <a:xfrm>
          <a:off x="2266950" y="110718600"/>
          <a:ext cx="685800" cy="0"/>
        </a:xfrm>
        <a:prstGeom prst="line">
          <a:avLst/>
        </a:prstGeom>
        <a:noFill/>
        <a:ln w="9525">
          <a:solidFill>
            <a:srgbClr val="000000"/>
          </a:solidFill>
          <a:round/>
          <a:headEnd/>
          <a:tailEnd/>
        </a:ln>
      </xdr:spPr>
    </xdr:sp>
    <xdr:clientData/>
  </xdr:twoCellAnchor>
  <xdr:twoCellAnchor>
    <xdr:from>
      <xdr:col>1</xdr:col>
      <xdr:colOff>1524000</xdr:colOff>
      <xdr:row>173</xdr:row>
      <xdr:rowOff>571500</xdr:rowOff>
    </xdr:from>
    <xdr:to>
      <xdr:col>1</xdr:col>
      <xdr:colOff>2209800</xdr:colOff>
      <xdr:row>173</xdr:row>
      <xdr:rowOff>571500</xdr:rowOff>
    </xdr:to>
    <xdr:sp macro="" textlink="">
      <xdr:nvSpPr>
        <xdr:cNvPr id="168" name="Line 601">
          <a:extLst>
            <a:ext uri="{FF2B5EF4-FFF2-40B4-BE49-F238E27FC236}">
              <a16:creationId xmlns:a16="http://schemas.microsoft.com/office/drawing/2014/main" id="{00000000-0008-0000-0000-0000A8000000}"/>
            </a:ext>
          </a:extLst>
        </xdr:cNvPr>
        <xdr:cNvSpPr>
          <a:spLocks noChangeShapeType="1"/>
        </xdr:cNvSpPr>
      </xdr:nvSpPr>
      <xdr:spPr bwMode="auto">
        <a:xfrm>
          <a:off x="3524250" y="110718600"/>
          <a:ext cx="685800" cy="0"/>
        </a:xfrm>
        <a:prstGeom prst="line">
          <a:avLst/>
        </a:prstGeom>
        <a:noFill/>
        <a:ln w="9525">
          <a:solidFill>
            <a:srgbClr val="000000"/>
          </a:solidFill>
          <a:round/>
          <a:headEnd/>
          <a:tailEnd/>
        </a:ln>
      </xdr:spPr>
    </xdr:sp>
    <xdr:clientData/>
  </xdr:twoCellAnchor>
  <xdr:twoCellAnchor>
    <xdr:from>
      <xdr:col>1</xdr:col>
      <xdr:colOff>619125</xdr:colOff>
      <xdr:row>173</xdr:row>
      <xdr:rowOff>514350</xdr:rowOff>
    </xdr:from>
    <xdr:to>
      <xdr:col>1</xdr:col>
      <xdr:colOff>619125</xdr:colOff>
      <xdr:row>173</xdr:row>
      <xdr:rowOff>628650</xdr:rowOff>
    </xdr:to>
    <xdr:sp macro="" textlink="">
      <xdr:nvSpPr>
        <xdr:cNvPr id="169" name="Line 602">
          <a:extLst>
            <a:ext uri="{FF2B5EF4-FFF2-40B4-BE49-F238E27FC236}">
              <a16:creationId xmlns:a16="http://schemas.microsoft.com/office/drawing/2014/main" id="{00000000-0008-0000-0000-0000A9000000}"/>
            </a:ext>
          </a:extLst>
        </xdr:cNvPr>
        <xdr:cNvSpPr>
          <a:spLocks noChangeShapeType="1"/>
        </xdr:cNvSpPr>
      </xdr:nvSpPr>
      <xdr:spPr bwMode="auto">
        <a:xfrm rot="-8023077">
          <a:off x="2562225" y="110718600"/>
          <a:ext cx="114300" cy="0"/>
        </a:xfrm>
        <a:prstGeom prst="line">
          <a:avLst/>
        </a:prstGeom>
        <a:noFill/>
        <a:ln w="9525">
          <a:solidFill>
            <a:srgbClr val="000000"/>
          </a:solidFill>
          <a:round/>
          <a:headEnd/>
          <a:tailEnd/>
        </a:ln>
      </xdr:spPr>
    </xdr:sp>
    <xdr:clientData/>
  </xdr:twoCellAnchor>
  <xdr:twoCellAnchor>
    <xdr:from>
      <xdr:col>1</xdr:col>
      <xdr:colOff>561975</xdr:colOff>
      <xdr:row>173</xdr:row>
      <xdr:rowOff>571500</xdr:rowOff>
    </xdr:from>
    <xdr:to>
      <xdr:col>1</xdr:col>
      <xdr:colOff>676275</xdr:colOff>
      <xdr:row>173</xdr:row>
      <xdr:rowOff>571500</xdr:rowOff>
    </xdr:to>
    <xdr:sp macro="" textlink="">
      <xdr:nvSpPr>
        <xdr:cNvPr id="170" name="Line 603">
          <a:extLst>
            <a:ext uri="{FF2B5EF4-FFF2-40B4-BE49-F238E27FC236}">
              <a16:creationId xmlns:a16="http://schemas.microsoft.com/office/drawing/2014/main" id="{00000000-0008-0000-0000-0000AA000000}"/>
            </a:ext>
          </a:extLst>
        </xdr:cNvPr>
        <xdr:cNvSpPr>
          <a:spLocks noChangeShapeType="1"/>
        </xdr:cNvSpPr>
      </xdr:nvSpPr>
      <xdr:spPr bwMode="auto">
        <a:xfrm rot="8220557">
          <a:off x="2562225" y="110718600"/>
          <a:ext cx="114300" cy="0"/>
        </a:xfrm>
        <a:prstGeom prst="line">
          <a:avLst/>
        </a:prstGeom>
        <a:noFill/>
        <a:ln w="9525">
          <a:solidFill>
            <a:srgbClr val="000000"/>
          </a:solidFill>
          <a:round/>
          <a:headEnd/>
          <a:tailEnd/>
        </a:ln>
      </xdr:spPr>
    </xdr:sp>
    <xdr:clientData/>
  </xdr:twoCellAnchor>
  <xdr:twoCellAnchor>
    <xdr:from>
      <xdr:col>1</xdr:col>
      <xdr:colOff>257175</xdr:colOff>
      <xdr:row>173</xdr:row>
      <xdr:rowOff>361950</xdr:rowOff>
    </xdr:from>
    <xdr:to>
      <xdr:col>1</xdr:col>
      <xdr:colOff>257175</xdr:colOff>
      <xdr:row>173</xdr:row>
      <xdr:rowOff>476250</xdr:rowOff>
    </xdr:to>
    <xdr:sp macro="" textlink="">
      <xdr:nvSpPr>
        <xdr:cNvPr id="171" name="Line 604">
          <a:extLst>
            <a:ext uri="{FF2B5EF4-FFF2-40B4-BE49-F238E27FC236}">
              <a16:creationId xmlns:a16="http://schemas.microsoft.com/office/drawing/2014/main" id="{00000000-0008-0000-0000-0000AB000000}"/>
            </a:ext>
          </a:extLst>
        </xdr:cNvPr>
        <xdr:cNvSpPr>
          <a:spLocks noChangeShapeType="1"/>
        </xdr:cNvSpPr>
      </xdr:nvSpPr>
      <xdr:spPr bwMode="auto">
        <a:xfrm rot="-8023077">
          <a:off x="2200275" y="110566200"/>
          <a:ext cx="114300" cy="0"/>
        </a:xfrm>
        <a:prstGeom prst="line">
          <a:avLst/>
        </a:prstGeom>
        <a:noFill/>
        <a:ln w="9525">
          <a:solidFill>
            <a:srgbClr val="000000"/>
          </a:solidFill>
          <a:round/>
          <a:headEnd/>
          <a:tailEnd/>
        </a:ln>
      </xdr:spPr>
    </xdr:sp>
    <xdr:clientData/>
  </xdr:twoCellAnchor>
  <xdr:twoCellAnchor>
    <xdr:from>
      <xdr:col>1</xdr:col>
      <xdr:colOff>209550</xdr:colOff>
      <xdr:row>173</xdr:row>
      <xdr:rowOff>419100</xdr:rowOff>
    </xdr:from>
    <xdr:to>
      <xdr:col>1</xdr:col>
      <xdr:colOff>323850</xdr:colOff>
      <xdr:row>173</xdr:row>
      <xdr:rowOff>419100</xdr:rowOff>
    </xdr:to>
    <xdr:sp macro="" textlink="">
      <xdr:nvSpPr>
        <xdr:cNvPr id="172" name="Line 605">
          <a:extLst>
            <a:ext uri="{FF2B5EF4-FFF2-40B4-BE49-F238E27FC236}">
              <a16:creationId xmlns:a16="http://schemas.microsoft.com/office/drawing/2014/main" id="{00000000-0008-0000-0000-0000AC000000}"/>
            </a:ext>
          </a:extLst>
        </xdr:cNvPr>
        <xdr:cNvSpPr>
          <a:spLocks noChangeShapeType="1"/>
        </xdr:cNvSpPr>
      </xdr:nvSpPr>
      <xdr:spPr bwMode="auto">
        <a:xfrm rot="8220557">
          <a:off x="2209800" y="110566200"/>
          <a:ext cx="114300" cy="0"/>
        </a:xfrm>
        <a:prstGeom prst="line">
          <a:avLst/>
        </a:prstGeom>
        <a:noFill/>
        <a:ln w="9525">
          <a:solidFill>
            <a:srgbClr val="000000"/>
          </a:solidFill>
          <a:round/>
          <a:headEnd/>
          <a:tailEnd/>
        </a:ln>
      </xdr:spPr>
    </xdr:sp>
    <xdr:clientData/>
  </xdr:twoCellAnchor>
  <xdr:twoCellAnchor>
    <xdr:from>
      <xdr:col>1</xdr:col>
      <xdr:colOff>962025</xdr:colOff>
      <xdr:row>173</xdr:row>
      <xdr:rowOff>361950</xdr:rowOff>
    </xdr:from>
    <xdr:to>
      <xdr:col>1</xdr:col>
      <xdr:colOff>962025</xdr:colOff>
      <xdr:row>173</xdr:row>
      <xdr:rowOff>476250</xdr:rowOff>
    </xdr:to>
    <xdr:sp macro="" textlink="">
      <xdr:nvSpPr>
        <xdr:cNvPr id="173" name="Line 606">
          <a:extLst>
            <a:ext uri="{FF2B5EF4-FFF2-40B4-BE49-F238E27FC236}">
              <a16:creationId xmlns:a16="http://schemas.microsoft.com/office/drawing/2014/main" id="{00000000-0008-0000-0000-0000AD000000}"/>
            </a:ext>
          </a:extLst>
        </xdr:cNvPr>
        <xdr:cNvSpPr>
          <a:spLocks noChangeShapeType="1"/>
        </xdr:cNvSpPr>
      </xdr:nvSpPr>
      <xdr:spPr bwMode="auto">
        <a:xfrm rot="-8023077">
          <a:off x="2905125" y="110566200"/>
          <a:ext cx="114300" cy="0"/>
        </a:xfrm>
        <a:prstGeom prst="line">
          <a:avLst/>
        </a:prstGeom>
        <a:noFill/>
        <a:ln w="9525">
          <a:solidFill>
            <a:srgbClr val="000000"/>
          </a:solidFill>
          <a:round/>
          <a:headEnd/>
          <a:tailEnd/>
        </a:ln>
      </xdr:spPr>
    </xdr:sp>
    <xdr:clientData/>
  </xdr:twoCellAnchor>
  <xdr:twoCellAnchor>
    <xdr:from>
      <xdr:col>1</xdr:col>
      <xdr:colOff>914400</xdr:colOff>
      <xdr:row>173</xdr:row>
      <xdr:rowOff>419100</xdr:rowOff>
    </xdr:from>
    <xdr:to>
      <xdr:col>1</xdr:col>
      <xdr:colOff>1028700</xdr:colOff>
      <xdr:row>173</xdr:row>
      <xdr:rowOff>419100</xdr:rowOff>
    </xdr:to>
    <xdr:sp macro="" textlink="">
      <xdr:nvSpPr>
        <xdr:cNvPr id="174" name="Line 607">
          <a:extLst>
            <a:ext uri="{FF2B5EF4-FFF2-40B4-BE49-F238E27FC236}">
              <a16:creationId xmlns:a16="http://schemas.microsoft.com/office/drawing/2014/main" id="{00000000-0008-0000-0000-0000AE000000}"/>
            </a:ext>
          </a:extLst>
        </xdr:cNvPr>
        <xdr:cNvSpPr>
          <a:spLocks noChangeShapeType="1"/>
        </xdr:cNvSpPr>
      </xdr:nvSpPr>
      <xdr:spPr bwMode="auto">
        <a:xfrm rot="8220557">
          <a:off x="2914650" y="110566200"/>
          <a:ext cx="114300" cy="0"/>
        </a:xfrm>
        <a:prstGeom prst="line">
          <a:avLst/>
        </a:prstGeom>
        <a:noFill/>
        <a:ln w="9525">
          <a:solidFill>
            <a:srgbClr val="000000"/>
          </a:solidFill>
          <a:round/>
          <a:headEnd/>
          <a:tailEnd/>
        </a:ln>
      </xdr:spPr>
    </xdr:sp>
    <xdr:clientData/>
  </xdr:twoCellAnchor>
  <xdr:twoCellAnchor>
    <xdr:from>
      <xdr:col>1</xdr:col>
      <xdr:colOff>1866900</xdr:colOff>
      <xdr:row>173</xdr:row>
      <xdr:rowOff>514350</xdr:rowOff>
    </xdr:from>
    <xdr:to>
      <xdr:col>1</xdr:col>
      <xdr:colOff>1866900</xdr:colOff>
      <xdr:row>173</xdr:row>
      <xdr:rowOff>628650</xdr:rowOff>
    </xdr:to>
    <xdr:sp macro="" textlink="">
      <xdr:nvSpPr>
        <xdr:cNvPr id="175" name="Line 608">
          <a:extLst>
            <a:ext uri="{FF2B5EF4-FFF2-40B4-BE49-F238E27FC236}">
              <a16:creationId xmlns:a16="http://schemas.microsoft.com/office/drawing/2014/main" id="{00000000-0008-0000-0000-0000AF000000}"/>
            </a:ext>
          </a:extLst>
        </xdr:cNvPr>
        <xdr:cNvSpPr>
          <a:spLocks noChangeShapeType="1"/>
        </xdr:cNvSpPr>
      </xdr:nvSpPr>
      <xdr:spPr bwMode="auto">
        <a:xfrm rot="-8023077">
          <a:off x="3810000" y="110718600"/>
          <a:ext cx="114300" cy="0"/>
        </a:xfrm>
        <a:prstGeom prst="line">
          <a:avLst/>
        </a:prstGeom>
        <a:noFill/>
        <a:ln w="9525">
          <a:solidFill>
            <a:srgbClr val="000000"/>
          </a:solidFill>
          <a:round/>
          <a:headEnd/>
          <a:tailEnd/>
        </a:ln>
      </xdr:spPr>
    </xdr:sp>
    <xdr:clientData/>
  </xdr:twoCellAnchor>
  <xdr:twoCellAnchor>
    <xdr:from>
      <xdr:col>1</xdr:col>
      <xdr:colOff>1819275</xdr:colOff>
      <xdr:row>173</xdr:row>
      <xdr:rowOff>571500</xdr:rowOff>
    </xdr:from>
    <xdr:to>
      <xdr:col>1</xdr:col>
      <xdr:colOff>1933575</xdr:colOff>
      <xdr:row>173</xdr:row>
      <xdr:rowOff>571500</xdr:rowOff>
    </xdr:to>
    <xdr:sp macro="" textlink="">
      <xdr:nvSpPr>
        <xdr:cNvPr id="176" name="Line 609">
          <a:extLst>
            <a:ext uri="{FF2B5EF4-FFF2-40B4-BE49-F238E27FC236}">
              <a16:creationId xmlns:a16="http://schemas.microsoft.com/office/drawing/2014/main" id="{00000000-0008-0000-0000-0000B0000000}"/>
            </a:ext>
          </a:extLst>
        </xdr:cNvPr>
        <xdr:cNvSpPr>
          <a:spLocks noChangeShapeType="1"/>
        </xdr:cNvSpPr>
      </xdr:nvSpPr>
      <xdr:spPr bwMode="auto">
        <a:xfrm rot="8220557">
          <a:off x="3819525" y="110718600"/>
          <a:ext cx="114300" cy="0"/>
        </a:xfrm>
        <a:prstGeom prst="line">
          <a:avLst/>
        </a:prstGeom>
        <a:noFill/>
        <a:ln w="9525">
          <a:solidFill>
            <a:srgbClr val="000000"/>
          </a:solidFill>
          <a:round/>
          <a:headEnd/>
          <a:tailEnd/>
        </a:ln>
      </xdr:spPr>
    </xdr:sp>
    <xdr:clientData/>
  </xdr:twoCellAnchor>
  <xdr:twoCellAnchor>
    <xdr:from>
      <xdr:col>1</xdr:col>
      <xdr:colOff>1533525</xdr:colOff>
      <xdr:row>173</xdr:row>
      <xdr:rowOff>723900</xdr:rowOff>
    </xdr:from>
    <xdr:to>
      <xdr:col>1</xdr:col>
      <xdr:colOff>1533525</xdr:colOff>
      <xdr:row>173</xdr:row>
      <xdr:rowOff>838200</xdr:rowOff>
    </xdr:to>
    <xdr:sp macro="" textlink="">
      <xdr:nvSpPr>
        <xdr:cNvPr id="177" name="Line 610">
          <a:extLst>
            <a:ext uri="{FF2B5EF4-FFF2-40B4-BE49-F238E27FC236}">
              <a16:creationId xmlns:a16="http://schemas.microsoft.com/office/drawing/2014/main" id="{00000000-0008-0000-0000-0000B1000000}"/>
            </a:ext>
          </a:extLst>
        </xdr:cNvPr>
        <xdr:cNvSpPr>
          <a:spLocks noChangeShapeType="1"/>
        </xdr:cNvSpPr>
      </xdr:nvSpPr>
      <xdr:spPr bwMode="auto">
        <a:xfrm rot="-8023077">
          <a:off x="3476625" y="110928150"/>
          <a:ext cx="114300" cy="0"/>
        </a:xfrm>
        <a:prstGeom prst="line">
          <a:avLst/>
        </a:prstGeom>
        <a:noFill/>
        <a:ln w="9525">
          <a:solidFill>
            <a:srgbClr val="000000"/>
          </a:solidFill>
          <a:round/>
          <a:headEnd/>
          <a:tailEnd/>
        </a:ln>
      </xdr:spPr>
    </xdr:sp>
    <xdr:clientData/>
  </xdr:twoCellAnchor>
  <xdr:twoCellAnchor>
    <xdr:from>
      <xdr:col>1</xdr:col>
      <xdr:colOff>1476375</xdr:colOff>
      <xdr:row>173</xdr:row>
      <xdr:rowOff>781050</xdr:rowOff>
    </xdr:from>
    <xdr:to>
      <xdr:col>1</xdr:col>
      <xdr:colOff>1590675</xdr:colOff>
      <xdr:row>173</xdr:row>
      <xdr:rowOff>781050</xdr:rowOff>
    </xdr:to>
    <xdr:sp macro="" textlink="">
      <xdr:nvSpPr>
        <xdr:cNvPr id="178" name="Line 611">
          <a:extLst>
            <a:ext uri="{FF2B5EF4-FFF2-40B4-BE49-F238E27FC236}">
              <a16:creationId xmlns:a16="http://schemas.microsoft.com/office/drawing/2014/main" id="{00000000-0008-0000-0000-0000B2000000}"/>
            </a:ext>
          </a:extLst>
        </xdr:cNvPr>
        <xdr:cNvSpPr>
          <a:spLocks noChangeShapeType="1"/>
        </xdr:cNvSpPr>
      </xdr:nvSpPr>
      <xdr:spPr bwMode="auto">
        <a:xfrm rot="8220557">
          <a:off x="3476625" y="110928150"/>
          <a:ext cx="114300" cy="0"/>
        </a:xfrm>
        <a:prstGeom prst="line">
          <a:avLst/>
        </a:prstGeom>
        <a:noFill/>
        <a:ln w="9525">
          <a:solidFill>
            <a:srgbClr val="000000"/>
          </a:solidFill>
          <a:round/>
          <a:headEnd/>
          <a:tailEnd/>
        </a:ln>
      </xdr:spPr>
    </xdr:sp>
    <xdr:clientData/>
  </xdr:twoCellAnchor>
  <xdr:twoCellAnchor>
    <xdr:from>
      <xdr:col>1</xdr:col>
      <xdr:colOff>2200275</xdr:colOff>
      <xdr:row>173</xdr:row>
      <xdr:rowOff>714375</xdr:rowOff>
    </xdr:from>
    <xdr:to>
      <xdr:col>1</xdr:col>
      <xdr:colOff>2200275</xdr:colOff>
      <xdr:row>173</xdr:row>
      <xdr:rowOff>828675</xdr:rowOff>
    </xdr:to>
    <xdr:sp macro="" textlink="">
      <xdr:nvSpPr>
        <xdr:cNvPr id="179" name="Line 612">
          <a:extLst>
            <a:ext uri="{FF2B5EF4-FFF2-40B4-BE49-F238E27FC236}">
              <a16:creationId xmlns:a16="http://schemas.microsoft.com/office/drawing/2014/main" id="{00000000-0008-0000-0000-0000B3000000}"/>
            </a:ext>
          </a:extLst>
        </xdr:cNvPr>
        <xdr:cNvSpPr>
          <a:spLocks noChangeShapeType="1"/>
        </xdr:cNvSpPr>
      </xdr:nvSpPr>
      <xdr:spPr bwMode="auto">
        <a:xfrm rot="-8023077">
          <a:off x="4143375" y="110918625"/>
          <a:ext cx="114300" cy="0"/>
        </a:xfrm>
        <a:prstGeom prst="line">
          <a:avLst/>
        </a:prstGeom>
        <a:noFill/>
        <a:ln w="9525">
          <a:solidFill>
            <a:srgbClr val="000000"/>
          </a:solidFill>
          <a:round/>
          <a:headEnd/>
          <a:tailEnd/>
        </a:ln>
      </xdr:spPr>
    </xdr:sp>
    <xdr:clientData/>
  </xdr:twoCellAnchor>
  <xdr:twoCellAnchor>
    <xdr:from>
      <xdr:col>1</xdr:col>
      <xdr:colOff>2152650</xdr:colOff>
      <xdr:row>173</xdr:row>
      <xdr:rowOff>771525</xdr:rowOff>
    </xdr:from>
    <xdr:to>
      <xdr:col>1</xdr:col>
      <xdr:colOff>2266950</xdr:colOff>
      <xdr:row>173</xdr:row>
      <xdr:rowOff>771525</xdr:rowOff>
    </xdr:to>
    <xdr:sp macro="" textlink="">
      <xdr:nvSpPr>
        <xdr:cNvPr id="180" name="Line 613">
          <a:extLst>
            <a:ext uri="{FF2B5EF4-FFF2-40B4-BE49-F238E27FC236}">
              <a16:creationId xmlns:a16="http://schemas.microsoft.com/office/drawing/2014/main" id="{00000000-0008-0000-0000-0000B4000000}"/>
            </a:ext>
          </a:extLst>
        </xdr:cNvPr>
        <xdr:cNvSpPr>
          <a:spLocks noChangeShapeType="1"/>
        </xdr:cNvSpPr>
      </xdr:nvSpPr>
      <xdr:spPr bwMode="auto">
        <a:xfrm rot="8220557">
          <a:off x="4152900" y="110918625"/>
          <a:ext cx="114300" cy="0"/>
        </a:xfrm>
        <a:prstGeom prst="line">
          <a:avLst/>
        </a:prstGeom>
        <a:noFill/>
        <a:ln w="9525">
          <a:solidFill>
            <a:srgbClr val="000000"/>
          </a:solidFill>
          <a:round/>
          <a:headEnd/>
          <a:tailEnd/>
        </a:ln>
      </xdr:spPr>
    </xdr:sp>
    <xdr:clientData/>
  </xdr:twoCellAnchor>
  <xdr:twoCellAnchor>
    <xdr:from>
      <xdr:col>1</xdr:col>
      <xdr:colOff>152400</xdr:colOff>
      <xdr:row>173</xdr:row>
      <xdr:rowOff>457200</xdr:rowOff>
    </xdr:from>
    <xdr:to>
      <xdr:col>1</xdr:col>
      <xdr:colOff>609600</xdr:colOff>
      <xdr:row>173</xdr:row>
      <xdr:rowOff>800100</xdr:rowOff>
    </xdr:to>
    <xdr:sp macro="" textlink="">
      <xdr:nvSpPr>
        <xdr:cNvPr id="181" name="Text Box 614">
          <a:extLst>
            <a:ext uri="{FF2B5EF4-FFF2-40B4-BE49-F238E27FC236}">
              <a16:creationId xmlns:a16="http://schemas.microsoft.com/office/drawing/2014/main" id="{00000000-0008-0000-0000-0000B5000000}"/>
            </a:ext>
          </a:extLst>
        </xdr:cNvPr>
        <xdr:cNvSpPr txBox="1">
          <a:spLocks noChangeArrowheads="1"/>
        </xdr:cNvSpPr>
      </xdr:nvSpPr>
      <xdr:spPr bwMode="auto">
        <a:xfrm>
          <a:off x="2152650" y="110604300"/>
          <a:ext cx="457200" cy="342900"/>
        </a:xfrm>
        <a:prstGeom prst="rect">
          <a:avLst/>
        </a:prstGeom>
        <a:noFill/>
        <a:ln w="9525">
          <a:noFill/>
          <a:miter lim="800000"/>
          <a:headEnd/>
          <a:tailEnd/>
        </a:ln>
      </xdr:spPr>
      <xdr:txBody>
        <a:bodyPr vertOverflow="clip" wrap="square" lIns="91440" tIns="45720" rIns="91440" bIns="45720" anchor="t" upright="1"/>
        <a:lstStyle/>
        <a:p>
          <a:pPr algn="l" rtl="0">
            <a:defRPr sz="1000"/>
          </a:pPr>
          <a:endParaRPr lang="en-US" sz="1000" b="0" i="0" u="none" strike="noStrike" baseline="0">
            <a:solidFill>
              <a:srgbClr val="000000"/>
            </a:solidFill>
            <a:latin typeface="Times New Roman"/>
            <a:cs typeface="Times New Roman"/>
          </a:endParaRPr>
        </a:p>
        <a:p>
          <a:pPr algn="l" rtl="0">
            <a:defRPr sz="1000"/>
          </a:pPr>
          <a:endParaRPr lang="en-US" sz="1000" b="0" i="0" u="none" strike="noStrike" baseline="0">
            <a:solidFill>
              <a:srgbClr val="000000"/>
            </a:solidFill>
            <a:latin typeface="Times New Roman"/>
            <a:cs typeface="Times New Roman"/>
          </a:endParaRPr>
        </a:p>
      </xdr:txBody>
    </xdr:sp>
    <xdr:clientData/>
  </xdr:twoCellAnchor>
  <xdr:twoCellAnchor>
    <xdr:from>
      <xdr:col>1</xdr:col>
      <xdr:colOff>2028825</xdr:colOff>
      <xdr:row>173</xdr:row>
      <xdr:rowOff>457200</xdr:rowOff>
    </xdr:from>
    <xdr:to>
      <xdr:col>1</xdr:col>
      <xdr:colOff>2333625</xdr:colOff>
      <xdr:row>173</xdr:row>
      <xdr:rowOff>800100</xdr:rowOff>
    </xdr:to>
    <xdr:sp macro="" textlink="">
      <xdr:nvSpPr>
        <xdr:cNvPr id="182" name="Text Box 615">
          <a:extLst>
            <a:ext uri="{FF2B5EF4-FFF2-40B4-BE49-F238E27FC236}">
              <a16:creationId xmlns:a16="http://schemas.microsoft.com/office/drawing/2014/main" id="{00000000-0008-0000-0000-0000B6000000}"/>
            </a:ext>
          </a:extLst>
        </xdr:cNvPr>
        <xdr:cNvSpPr txBox="1">
          <a:spLocks noChangeArrowheads="1"/>
        </xdr:cNvSpPr>
      </xdr:nvSpPr>
      <xdr:spPr bwMode="auto">
        <a:xfrm>
          <a:off x="4029075" y="110604300"/>
          <a:ext cx="304800" cy="342900"/>
        </a:xfrm>
        <a:prstGeom prst="rect">
          <a:avLst/>
        </a:prstGeom>
        <a:noFill/>
        <a:ln w="9525">
          <a:noFill/>
          <a:miter lim="800000"/>
          <a:headEnd/>
          <a:tailEnd/>
        </a:ln>
      </xdr:spPr>
      <xdr:txBody>
        <a:bodyPr vertOverflow="clip" wrap="square" lIns="91440" tIns="45720" rIns="91440" bIns="45720" anchor="t" upright="1"/>
        <a:lstStyle/>
        <a:p>
          <a:pPr algn="l" rtl="0">
            <a:defRPr sz="1000"/>
          </a:pPr>
          <a:r>
            <a:rPr lang="en-US" sz="1000" b="0" i="0" u="none" strike="noStrike" baseline="0">
              <a:solidFill>
                <a:srgbClr val="000000"/>
              </a:solidFill>
              <a:latin typeface="Times New Roman"/>
              <a:cs typeface="Times New Roman"/>
            </a:rPr>
            <a:t>  </a:t>
          </a:r>
        </a:p>
        <a:p>
          <a:pPr algn="l" rtl="0">
            <a:defRPr sz="1000"/>
          </a:pPr>
          <a:endParaRPr lang="en-US" sz="1000" b="0" i="0" u="none" strike="noStrike" baseline="0">
            <a:solidFill>
              <a:srgbClr val="000000"/>
            </a:solidFill>
            <a:latin typeface="Times New Roman"/>
            <a:cs typeface="Times New Roman"/>
          </a:endParaRPr>
        </a:p>
      </xdr:txBody>
    </xdr:sp>
    <xdr:clientData/>
  </xdr:twoCellAnchor>
  <xdr:twoCellAnchor>
    <xdr:from>
      <xdr:col>1</xdr:col>
      <xdr:colOff>847725</xdr:colOff>
      <xdr:row>173</xdr:row>
      <xdr:rowOff>466725</xdr:rowOff>
    </xdr:from>
    <xdr:to>
      <xdr:col>1</xdr:col>
      <xdr:colOff>1304925</xdr:colOff>
      <xdr:row>173</xdr:row>
      <xdr:rowOff>809625</xdr:rowOff>
    </xdr:to>
    <xdr:sp macro="" textlink="">
      <xdr:nvSpPr>
        <xdr:cNvPr id="183" name="Text Box 616">
          <a:extLst>
            <a:ext uri="{FF2B5EF4-FFF2-40B4-BE49-F238E27FC236}">
              <a16:creationId xmlns:a16="http://schemas.microsoft.com/office/drawing/2014/main" id="{00000000-0008-0000-0000-0000B7000000}"/>
            </a:ext>
          </a:extLst>
        </xdr:cNvPr>
        <xdr:cNvSpPr txBox="1">
          <a:spLocks noChangeArrowheads="1"/>
        </xdr:cNvSpPr>
      </xdr:nvSpPr>
      <xdr:spPr bwMode="auto">
        <a:xfrm>
          <a:off x="2847975" y="110613825"/>
          <a:ext cx="457200" cy="342900"/>
        </a:xfrm>
        <a:prstGeom prst="rect">
          <a:avLst/>
        </a:prstGeom>
        <a:noFill/>
        <a:ln w="9525">
          <a:noFill/>
          <a:miter lim="800000"/>
          <a:headEnd/>
          <a:tailEnd/>
        </a:ln>
      </xdr:spPr>
      <xdr:txBody>
        <a:bodyPr vertOverflow="clip" wrap="square" lIns="91440" tIns="45720" rIns="91440" bIns="45720" anchor="t" upright="1"/>
        <a:lstStyle/>
        <a:p>
          <a:pPr algn="l" rtl="0">
            <a:defRPr sz="1000"/>
          </a:pPr>
          <a:endParaRPr lang="en-US" sz="1000" b="0" i="0" u="none" strike="noStrike" baseline="0">
            <a:solidFill>
              <a:srgbClr val="000000"/>
            </a:solidFill>
            <a:latin typeface="Times New Roman"/>
            <a:cs typeface="Times New Roman"/>
          </a:endParaRPr>
        </a:p>
        <a:p>
          <a:pPr algn="l" rtl="0">
            <a:defRPr sz="1000"/>
          </a:pPr>
          <a:endParaRPr lang="en-US" sz="1000" b="0" i="0" u="none" strike="noStrike" baseline="0">
            <a:solidFill>
              <a:srgbClr val="000000"/>
            </a:solidFill>
            <a:latin typeface="Times New Roman"/>
            <a:cs typeface="Times New Roman"/>
          </a:endParaRPr>
        </a:p>
      </xdr:txBody>
    </xdr:sp>
    <xdr:clientData/>
  </xdr:twoCellAnchor>
  <xdr:twoCellAnchor>
    <xdr:from>
      <xdr:col>1</xdr:col>
      <xdr:colOff>1419225</xdr:colOff>
      <xdr:row>173</xdr:row>
      <xdr:rowOff>466725</xdr:rowOff>
    </xdr:from>
    <xdr:to>
      <xdr:col>1</xdr:col>
      <xdr:colOff>1876425</xdr:colOff>
      <xdr:row>173</xdr:row>
      <xdr:rowOff>809625</xdr:rowOff>
    </xdr:to>
    <xdr:sp macro="" textlink="">
      <xdr:nvSpPr>
        <xdr:cNvPr id="184" name="Text Box 617">
          <a:extLst>
            <a:ext uri="{FF2B5EF4-FFF2-40B4-BE49-F238E27FC236}">
              <a16:creationId xmlns:a16="http://schemas.microsoft.com/office/drawing/2014/main" id="{00000000-0008-0000-0000-0000B8000000}"/>
            </a:ext>
          </a:extLst>
        </xdr:cNvPr>
        <xdr:cNvSpPr txBox="1">
          <a:spLocks noChangeArrowheads="1"/>
        </xdr:cNvSpPr>
      </xdr:nvSpPr>
      <xdr:spPr bwMode="auto">
        <a:xfrm>
          <a:off x="3419475" y="110613825"/>
          <a:ext cx="457200" cy="342900"/>
        </a:xfrm>
        <a:prstGeom prst="rect">
          <a:avLst/>
        </a:prstGeom>
        <a:noFill/>
        <a:ln w="9525">
          <a:noFill/>
          <a:miter lim="800000"/>
          <a:headEnd/>
          <a:tailEnd/>
        </a:ln>
      </xdr:spPr>
      <xdr:txBody>
        <a:bodyPr vertOverflow="clip" wrap="square" lIns="91440" tIns="45720" rIns="91440" bIns="45720" anchor="t" upright="1"/>
        <a:lstStyle/>
        <a:p>
          <a:pPr algn="l" rtl="0">
            <a:defRPr sz="1000"/>
          </a:pPr>
          <a:endParaRPr lang="en-US" sz="1000" b="0" i="0" u="none" strike="noStrike" baseline="0">
            <a:solidFill>
              <a:srgbClr val="000000"/>
            </a:solidFill>
            <a:latin typeface="Times New Roman"/>
            <a:cs typeface="Times New Roman"/>
          </a:endParaRPr>
        </a:p>
        <a:p>
          <a:pPr algn="l" rtl="0">
            <a:defRPr sz="1000"/>
          </a:pPr>
          <a:endParaRPr lang="en-US" sz="1000" b="0" i="0" u="none" strike="noStrike" baseline="0">
            <a:solidFill>
              <a:srgbClr val="000000"/>
            </a:solidFill>
            <a:latin typeface="Times New Roman"/>
            <a:cs typeface="Times New Roman"/>
          </a:endParaRPr>
        </a:p>
      </xdr:txBody>
    </xdr:sp>
    <xdr:clientData/>
  </xdr:twoCellAnchor>
  <xdr:twoCellAnchor>
    <xdr:from>
      <xdr:col>1</xdr:col>
      <xdr:colOff>1809750</xdr:colOff>
      <xdr:row>179</xdr:row>
      <xdr:rowOff>142875</xdr:rowOff>
    </xdr:from>
    <xdr:to>
      <xdr:col>1</xdr:col>
      <xdr:colOff>2209800</xdr:colOff>
      <xdr:row>179</xdr:row>
      <xdr:rowOff>476250</xdr:rowOff>
    </xdr:to>
    <xdr:sp macro="" textlink="">
      <xdr:nvSpPr>
        <xdr:cNvPr id="185" name="Oval 1008">
          <a:extLst>
            <a:ext uri="{FF2B5EF4-FFF2-40B4-BE49-F238E27FC236}">
              <a16:creationId xmlns:a16="http://schemas.microsoft.com/office/drawing/2014/main" id="{00000000-0008-0000-0000-0000B9000000}"/>
            </a:ext>
          </a:extLst>
        </xdr:cNvPr>
        <xdr:cNvSpPr>
          <a:spLocks noChangeArrowheads="1"/>
        </xdr:cNvSpPr>
      </xdr:nvSpPr>
      <xdr:spPr bwMode="auto">
        <a:xfrm>
          <a:off x="3810000" y="115995450"/>
          <a:ext cx="400050" cy="333375"/>
        </a:xfrm>
        <a:prstGeom prst="ellipse">
          <a:avLst/>
        </a:prstGeom>
        <a:solidFill>
          <a:srgbClr val="FFFFFF"/>
        </a:solidFill>
        <a:ln w="9525">
          <a:solidFill>
            <a:srgbClr val="000000"/>
          </a:solidFill>
          <a:round/>
          <a:headEnd/>
          <a:tailEnd/>
        </a:ln>
      </xdr:spPr>
      <xdr:txBody>
        <a:bodyPr vertOverflow="clip" wrap="square" lIns="91440" tIns="45720" rIns="91440" bIns="45720" anchor="t" upright="1"/>
        <a:lstStyle/>
        <a:p>
          <a:pPr algn="l" rtl="0">
            <a:defRPr sz="1000"/>
          </a:pPr>
          <a:r>
            <a:rPr lang="en-US" sz="800" b="0" i="0" u="none" strike="noStrike" baseline="0">
              <a:solidFill>
                <a:srgbClr val="000000"/>
              </a:solidFill>
              <a:latin typeface="Times New Roman"/>
              <a:cs typeface="Times New Roman"/>
            </a:rPr>
            <a:t>M</a:t>
          </a:r>
          <a:endParaRPr lang="en-US" sz="1000" b="0" i="0" u="none" strike="noStrike" baseline="0">
            <a:solidFill>
              <a:srgbClr val="000000"/>
            </a:solidFill>
            <a:latin typeface="Times New Roman"/>
            <a:cs typeface="Times New Roman"/>
          </a:endParaRPr>
        </a:p>
        <a:p>
          <a:pPr algn="l" rtl="0">
            <a:defRPr sz="1000"/>
          </a:pPr>
          <a:endParaRPr lang="en-US" sz="1000" b="0" i="0" u="none" strike="noStrike" baseline="0">
            <a:solidFill>
              <a:srgbClr val="000000"/>
            </a:solidFill>
            <a:latin typeface="Times New Roman"/>
            <a:cs typeface="Times New Roman"/>
          </a:endParaRPr>
        </a:p>
      </xdr:txBody>
    </xdr:sp>
    <xdr:clientData/>
  </xdr:twoCellAnchor>
  <xdr:twoCellAnchor>
    <xdr:from>
      <xdr:col>1</xdr:col>
      <xdr:colOff>333375</xdr:colOff>
      <xdr:row>179</xdr:row>
      <xdr:rowOff>314325</xdr:rowOff>
    </xdr:from>
    <xdr:to>
      <xdr:col>1</xdr:col>
      <xdr:colOff>1819275</xdr:colOff>
      <xdr:row>179</xdr:row>
      <xdr:rowOff>314325</xdr:rowOff>
    </xdr:to>
    <xdr:sp macro="" textlink="">
      <xdr:nvSpPr>
        <xdr:cNvPr id="186" name="Line 1009">
          <a:extLst>
            <a:ext uri="{FF2B5EF4-FFF2-40B4-BE49-F238E27FC236}">
              <a16:creationId xmlns:a16="http://schemas.microsoft.com/office/drawing/2014/main" id="{00000000-0008-0000-0000-0000BA000000}"/>
            </a:ext>
          </a:extLst>
        </xdr:cNvPr>
        <xdr:cNvSpPr>
          <a:spLocks noChangeShapeType="1"/>
        </xdr:cNvSpPr>
      </xdr:nvSpPr>
      <xdr:spPr bwMode="auto">
        <a:xfrm>
          <a:off x="2333625" y="116166900"/>
          <a:ext cx="1485900" cy="0"/>
        </a:xfrm>
        <a:prstGeom prst="line">
          <a:avLst/>
        </a:prstGeom>
        <a:noFill/>
        <a:ln w="9525">
          <a:solidFill>
            <a:srgbClr val="000000"/>
          </a:solidFill>
          <a:round/>
          <a:headEnd/>
          <a:tailEnd/>
        </a:ln>
      </xdr:spPr>
    </xdr:sp>
    <xdr:clientData/>
  </xdr:twoCellAnchor>
  <xdr:twoCellAnchor>
    <xdr:from>
      <xdr:col>1</xdr:col>
      <xdr:colOff>552450</xdr:colOff>
      <xdr:row>179</xdr:row>
      <xdr:rowOff>257175</xdr:rowOff>
    </xdr:from>
    <xdr:to>
      <xdr:col>1</xdr:col>
      <xdr:colOff>552450</xdr:colOff>
      <xdr:row>179</xdr:row>
      <xdr:rowOff>371475</xdr:rowOff>
    </xdr:to>
    <xdr:sp macro="" textlink="">
      <xdr:nvSpPr>
        <xdr:cNvPr id="187" name="Line 1010">
          <a:extLst>
            <a:ext uri="{FF2B5EF4-FFF2-40B4-BE49-F238E27FC236}">
              <a16:creationId xmlns:a16="http://schemas.microsoft.com/office/drawing/2014/main" id="{00000000-0008-0000-0000-0000BB000000}"/>
            </a:ext>
          </a:extLst>
        </xdr:cNvPr>
        <xdr:cNvSpPr>
          <a:spLocks noChangeShapeType="1"/>
        </xdr:cNvSpPr>
      </xdr:nvSpPr>
      <xdr:spPr bwMode="auto">
        <a:xfrm rot="2265785">
          <a:off x="2552700" y="116109750"/>
          <a:ext cx="0" cy="114300"/>
        </a:xfrm>
        <a:prstGeom prst="line">
          <a:avLst/>
        </a:prstGeom>
        <a:noFill/>
        <a:ln w="9525">
          <a:solidFill>
            <a:srgbClr val="000000"/>
          </a:solidFill>
          <a:round/>
          <a:headEnd/>
          <a:tailEnd/>
        </a:ln>
      </xdr:spPr>
    </xdr:sp>
    <xdr:clientData/>
  </xdr:twoCellAnchor>
  <xdr:twoCellAnchor>
    <xdr:from>
      <xdr:col>1</xdr:col>
      <xdr:colOff>1066800</xdr:colOff>
      <xdr:row>179</xdr:row>
      <xdr:rowOff>257175</xdr:rowOff>
    </xdr:from>
    <xdr:to>
      <xdr:col>1</xdr:col>
      <xdr:colOff>1066800</xdr:colOff>
      <xdr:row>179</xdr:row>
      <xdr:rowOff>371475</xdr:rowOff>
    </xdr:to>
    <xdr:sp macro="" textlink="">
      <xdr:nvSpPr>
        <xdr:cNvPr id="188" name="Line 1011">
          <a:extLst>
            <a:ext uri="{FF2B5EF4-FFF2-40B4-BE49-F238E27FC236}">
              <a16:creationId xmlns:a16="http://schemas.microsoft.com/office/drawing/2014/main" id="{00000000-0008-0000-0000-0000BC000000}"/>
            </a:ext>
          </a:extLst>
        </xdr:cNvPr>
        <xdr:cNvSpPr>
          <a:spLocks noChangeShapeType="1"/>
        </xdr:cNvSpPr>
      </xdr:nvSpPr>
      <xdr:spPr bwMode="auto">
        <a:xfrm rot="2265785">
          <a:off x="3067050" y="116109750"/>
          <a:ext cx="0" cy="114300"/>
        </a:xfrm>
        <a:prstGeom prst="line">
          <a:avLst/>
        </a:prstGeom>
        <a:noFill/>
        <a:ln w="9525">
          <a:solidFill>
            <a:srgbClr val="000000"/>
          </a:solidFill>
          <a:round/>
          <a:headEnd/>
          <a:tailEnd/>
        </a:ln>
      </xdr:spPr>
    </xdr:sp>
    <xdr:clientData/>
  </xdr:twoCellAnchor>
  <xdr:twoCellAnchor>
    <xdr:from>
      <xdr:col>1</xdr:col>
      <xdr:colOff>800100</xdr:colOff>
      <xdr:row>179</xdr:row>
      <xdr:rowOff>257175</xdr:rowOff>
    </xdr:from>
    <xdr:to>
      <xdr:col>1</xdr:col>
      <xdr:colOff>800100</xdr:colOff>
      <xdr:row>179</xdr:row>
      <xdr:rowOff>371475</xdr:rowOff>
    </xdr:to>
    <xdr:sp macro="" textlink="">
      <xdr:nvSpPr>
        <xdr:cNvPr id="189" name="Line 1012">
          <a:extLst>
            <a:ext uri="{FF2B5EF4-FFF2-40B4-BE49-F238E27FC236}">
              <a16:creationId xmlns:a16="http://schemas.microsoft.com/office/drawing/2014/main" id="{00000000-0008-0000-0000-0000BD000000}"/>
            </a:ext>
          </a:extLst>
        </xdr:cNvPr>
        <xdr:cNvSpPr>
          <a:spLocks noChangeShapeType="1"/>
        </xdr:cNvSpPr>
      </xdr:nvSpPr>
      <xdr:spPr bwMode="auto">
        <a:xfrm rot="2265785">
          <a:off x="2800350" y="116109750"/>
          <a:ext cx="0" cy="114300"/>
        </a:xfrm>
        <a:prstGeom prst="line">
          <a:avLst/>
        </a:prstGeom>
        <a:noFill/>
        <a:ln w="9525">
          <a:solidFill>
            <a:srgbClr val="000000"/>
          </a:solidFill>
          <a:round/>
          <a:headEnd/>
          <a:tailEnd/>
        </a:ln>
      </xdr:spPr>
    </xdr:sp>
    <xdr:clientData/>
  </xdr:twoCellAnchor>
  <xdr:twoCellAnchor>
    <xdr:from>
      <xdr:col>1</xdr:col>
      <xdr:colOff>752475</xdr:colOff>
      <xdr:row>179</xdr:row>
      <xdr:rowOff>304800</xdr:rowOff>
    </xdr:from>
    <xdr:to>
      <xdr:col>1</xdr:col>
      <xdr:colOff>866775</xdr:colOff>
      <xdr:row>179</xdr:row>
      <xdr:rowOff>304800</xdr:rowOff>
    </xdr:to>
    <xdr:sp macro="" textlink="">
      <xdr:nvSpPr>
        <xdr:cNvPr id="190" name="Line 1013">
          <a:extLst>
            <a:ext uri="{FF2B5EF4-FFF2-40B4-BE49-F238E27FC236}">
              <a16:creationId xmlns:a16="http://schemas.microsoft.com/office/drawing/2014/main" id="{00000000-0008-0000-0000-0000BE000000}"/>
            </a:ext>
          </a:extLst>
        </xdr:cNvPr>
        <xdr:cNvSpPr>
          <a:spLocks noChangeShapeType="1"/>
        </xdr:cNvSpPr>
      </xdr:nvSpPr>
      <xdr:spPr bwMode="auto">
        <a:xfrm rot="-3134215">
          <a:off x="2809875" y="116100225"/>
          <a:ext cx="0" cy="114300"/>
        </a:xfrm>
        <a:prstGeom prst="line">
          <a:avLst/>
        </a:prstGeom>
        <a:noFill/>
        <a:ln w="9525">
          <a:solidFill>
            <a:srgbClr val="000000"/>
          </a:solidFill>
          <a:round/>
          <a:headEnd/>
          <a:tailEnd/>
        </a:ln>
      </xdr:spPr>
    </xdr:sp>
    <xdr:clientData/>
  </xdr:twoCellAnchor>
  <xdr:twoCellAnchor>
    <xdr:from>
      <xdr:col>1</xdr:col>
      <xdr:colOff>95250</xdr:colOff>
      <xdr:row>179</xdr:row>
      <xdr:rowOff>314325</xdr:rowOff>
    </xdr:from>
    <xdr:to>
      <xdr:col>1</xdr:col>
      <xdr:colOff>323850</xdr:colOff>
      <xdr:row>179</xdr:row>
      <xdr:rowOff>314325</xdr:rowOff>
    </xdr:to>
    <xdr:sp macro="" textlink="">
      <xdr:nvSpPr>
        <xdr:cNvPr id="191" name="Line 1014">
          <a:extLst>
            <a:ext uri="{FF2B5EF4-FFF2-40B4-BE49-F238E27FC236}">
              <a16:creationId xmlns:a16="http://schemas.microsoft.com/office/drawing/2014/main" id="{00000000-0008-0000-0000-0000BF000000}"/>
            </a:ext>
          </a:extLst>
        </xdr:cNvPr>
        <xdr:cNvSpPr>
          <a:spLocks noChangeShapeType="1"/>
        </xdr:cNvSpPr>
      </xdr:nvSpPr>
      <xdr:spPr bwMode="auto">
        <a:xfrm>
          <a:off x="2095500" y="116166900"/>
          <a:ext cx="228600" cy="0"/>
        </a:xfrm>
        <a:prstGeom prst="line">
          <a:avLst/>
        </a:prstGeom>
        <a:noFill/>
        <a:ln w="9525">
          <a:solidFill>
            <a:srgbClr val="000000"/>
          </a:solidFill>
          <a:round/>
          <a:headEnd/>
          <a:tailEnd type="triangle" w="med" len="med"/>
        </a:ln>
      </xdr:spPr>
    </xdr:sp>
    <xdr:clientData/>
  </xdr:twoCellAnchor>
  <xdr:twoCellAnchor>
    <xdr:from>
      <xdr:col>1</xdr:col>
      <xdr:colOff>390525</xdr:colOff>
      <xdr:row>179</xdr:row>
      <xdr:rowOff>409575</xdr:rowOff>
    </xdr:from>
    <xdr:to>
      <xdr:col>1</xdr:col>
      <xdr:colOff>733425</xdr:colOff>
      <xdr:row>179</xdr:row>
      <xdr:rowOff>752475</xdr:rowOff>
    </xdr:to>
    <xdr:sp macro="" textlink="">
      <xdr:nvSpPr>
        <xdr:cNvPr id="192" name="Text Box 1015">
          <a:extLst>
            <a:ext uri="{FF2B5EF4-FFF2-40B4-BE49-F238E27FC236}">
              <a16:creationId xmlns:a16="http://schemas.microsoft.com/office/drawing/2014/main" id="{00000000-0008-0000-0000-0000C0000000}"/>
            </a:ext>
          </a:extLst>
        </xdr:cNvPr>
        <xdr:cNvSpPr txBox="1">
          <a:spLocks noChangeArrowheads="1"/>
        </xdr:cNvSpPr>
      </xdr:nvSpPr>
      <xdr:spPr bwMode="auto">
        <a:xfrm>
          <a:off x="2390775" y="116262150"/>
          <a:ext cx="342900" cy="342900"/>
        </a:xfrm>
        <a:prstGeom prst="rect">
          <a:avLst/>
        </a:prstGeom>
        <a:solidFill>
          <a:srgbClr val="FFFFFF"/>
        </a:solidFill>
        <a:ln w="9525">
          <a:noFill/>
          <a:miter lim="800000"/>
          <a:headEnd/>
          <a:tailEnd/>
        </a:ln>
      </xdr:spPr>
      <xdr:txBody>
        <a:bodyPr vertOverflow="clip" wrap="square" lIns="91440" tIns="45720" rIns="91440" bIns="45720" anchor="t" upright="1"/>
        <a:lstStyle/>
        <a:p>
          <a:pPr algn="l" rtl="0">
            <a:defRPr sz="1000"/>
          </a:pPr>
          <a:r>
            <a:rPr lang="en-US" sz="1200" b="0" i="0" u="none" strike="noStrike" baseline="0">
              <a:solidFill>
                <a:srgbClr val="000000"/>
              </a:solidFill>
              <a:latin typeface="Times New Roman"/>
              <a:cs typeface="Times New Roman"/>
            </a:rPr>
            <a:t>S</a:t>
          </a:r>
          <a:r>
            <a:rPr lang="en-US" sz="900" b="0" i="0" u="none" strike="noStrike" baseline="0">
              <a:solidFill>
                <a:srgbClr val="000000"/>
              </a:solidFill>
              <a:latin typeface="Times New Roman"/>
              <a:cs typeface="Times New Roman"/>
            </a:rPr>
            <a:t>1</a:t>
          </a:r>
          <a:r>
            <a:rPr lang="en-US" sz="1200" b="0" i="0" u="none" strike="noStrike" baseline="0">
              <a:solidFill>
                <a:srgbClr val="000000"/>
              </a:solidFill>
              <a:latin typeface="Times New Roman"/>
              <a:cs typeface="Times New Roman"/>
            </a:rPr>
            <a:t>1</a:t>
          </a:r>
        </a:p>
        <a:p>
          <a:pPr algn="l" rtl="0">
            <a:defRPr sz="1000"/>
          </a:pPr>
          <a:endParaRPr lang="en-US" sz="1200" b="0" i="0" u="none" strike="noStrike" baseline="0">
            <a:solidFill>
              <a:srgbClr val="000000"/>
            </a:solidFill>
            <a:latin typeface="Times New Roman"/>
            <a:cs typeface="Times New Roman"/>
          </a:endParaRPr>
        </a:p>
      </xdr:txBody>
    </xdr:sp>
    <xdr:clientData/>
  </xdr:twoCellAnchor>
  <xdr:twoCellAnchor>
    <xdr:from>
      <xdr:col>1</xdr:col>
      <xdr:colOff>904875</xdr:colOff>
      <xdr:row>179</xdr:row>
      <xdr:rowOff>390525</xdr:rowOff>
    </xdr:from>
    <xdr:to>
      <xdr:col>1</xdr:col>
      <xdr:colOff>1362075</xdr:colOff>
      <xdr:row>179</xdr:row>
      <xdr:rowOff>676275</xdr:rowOff>
    </xdr:to>
    <xdr:sp macro="" textlink="">
      <xdr:nvSpPr>
        <xdr:cNvPr id="193" name="Text Box 1016">
          <a:extLst>
            <a:ext uri="{FF2B5EF4-FFF2-40B4-BE49-F238E27FC236}">
              <a16:creationId xmlns:a16="http://schemas.microsoft.com/office/drawing/2014/main" id="{00000000-0008-0000-0000-0000C1000000}"/>
            </a:ext>
          </a:extLst>
        </xdr:cNvPr>
        <xdr:cNvSpPr txBox="1">
          <a:spLocks noChangeArrowheads="1"/>
        </xdr:cNvSpPr>
      </xdr:nvSpPr>
      <xdr:spPr bwMode="auto">
        <a:xfrm>
          <a:off x="2905125" y="116243100"/>
          <a:ext cx="457200" cy="285750"/>
        </a:xfrm>
        <a:prstGeom prst="rect">
          <a:avLst/>
        </a:prstGeom>
        <a:solidFill>
          <a:srgbClr val="FFFFFF"/>
        </a:solidFill>
        <a:ln w="9525">
          <a:noFill/>
          <a:miter lim="800000"/>
          <a:headEnd/>
          <a:tailEnd/>
        </a:ln>
      </xdr:spPr>
      <xdr:txBody>
        <a:bodyPr vertOverflow="clip" wrap="square" lIns="91440" tIns="45720" rIns="91440" bIns="45720" anchor="t" upright="1"/>
        <a:lstStyle/>
        <a:p>
          <a:pPr algn="l" rtl="0">
            <a:defRPr sz="1000"/>
          </a:pPr>
          <a:r>
            <a:rPr lang="en-US" sz="1200" b="0" i="0" u="none" strike="noStrike" baseline="0">
              <a:solidFill>
                <a:srgbClr val="000000"/>
              </a:solidFill>
              <a:latin typeface="Times New Roman"/>
              <a:cs typeface="Times New Roman"/>
            </a:rPr>
            <a:t>S</a:t>
          </a:r>
          <a:r>
            <a:rPr lang="en-US" sz="900" b="0" i="0" u="none" strike="noStrike" baseline="0">
              <a:solidFill>
                <a:srgbClr val="000000"/>
              </a:solidFill>
              <a:latin typeface="Times New Roman"/>
              <a:cs typeface="Times New Roman"/>
            </a:rPr>
            <a:t>2</a:t>
          </a:r>
          <a:endParaRPr lang="en-US" sz="1200" b="0" i="0" u="none" strike="noStrike" baseline="0">
            <a:solidFill>
              <a:srgbClr val="000000"/>
            </a:solidFill>
            <a:latin typeface="Times New Roman"/>
            <a:cs typeface="Times New Roman"/>
          </a:endParaRPr>
        </a:p>
        <a:p>
          <a:pPr algn="l" rtl="0">
            <a:defRPr sz="1000"/>
          </a:pPr>
          <a:endParaRPr lang="en-US" sz="1200" b="0" i="0" u="none" strike="noStrike" baseline="0">
            <a:solidFill>
              <a:srgbClr val="000000"/>
            </a:solidFill>
            <a:latin typeface="Times New Roman"/>
            <a:cs typeface="Times New Roman"/>
          </a:endParaRPr>
        </a:p>
      </xdr:txBody>
    </xdr:sp>
    <xdr:clientData/>
  </xdr:twoCellAnchor>
  <xdr:twoCellAnchor>
    <xdr:from>
      <xdr:col>1</xdr:col>
      <xdr:colOff>333375</xdr:colOff>
      <xdr:row>179</xdr:row>
      <xdr:rowOff>123825</xdr:rowOff>
    </xdr:from>
    <xdr:to>
      <xdr:col>1</xdr:col>
      <xdr:colOff>333375</xdr:colOff>
      <xdr:row>179</xdr:row>
      <xdr:rowOff>581025</xdr:rowOff>
    </xdr:to>
    <xdr:sp macro="" textlink="">
      <xdr:nvSpPr>
        <xdr:cNvPr id="194" name="Line 1017">
          <a:extLst>
            <a:ext uri="{FF2B5EF4-FFF2-40B4-BE49-F238E27FC236}">
              <a16:creationId xmlns:a16="http://schemas.microsoft.com/office/drawing/2014/main" id="{00000000-0008-0000-0000-0000C2000000}"/>
            </a:ext>
          </a:extLst>
        </xdr:cNvPr>
        <xdr:cNvSpPr>
          <a:spLocks noChangeShapeType="1"/>
        </xdr:cNvSpPr>
      </xdr:nvSpPr>
      <xdr:spPr bwMode="auto">
        <a:xfrm>
          <a:off x="2333625" y="115976400"/>
          <a:ext cx="0" cy="457200"/>
        </a:xfrm>
        <a:prstGeom prst="line">
          <a:avLst/>
        </a:prstGeom>
        <a:noFill/>
        <a:ln w="38100">
          <a:solidFill>
            <a:srgbClr val="000000"/>
          </a:solidFill>
          <a:round/>
          <a:headEnd/>
          <a:tailEnd/>
        </a:ln>
      </xdr:spPr>
    </xdr:sp>
    <xdr:clientData/>
  </xdr:twoCellAnchor>
  <xdr:twoCellAnchor>
    <xdr:from>
      <xdr:col>1</xdr:col>
      <xdr:colOff>1809750</xdr:colOff>
      <xdr:row>179</xdr:row>
      <xdr:rowOff>142875</xdr:rowOff>
    </xdr:from>
    <xdr:to>
      <xdr:col>1</xdr:col>
      <xdr:colOff>2209800</xdr:colOff>
      <xdr:row>179</xdr:row>
      <xdr:rowOff>476250</xdr:rowOff>
    </xdr:to>
    <xdr:sp macro="" textlink="">
      <xdr:nvSpPr>
        <xdr:cNvPr id="198" name="Oval 1008">
          <a:extLst>
            <a:ext uri="{FF2B5EF4-FFF2-40B4-BE49-F238E27FC236}">
              <a16:creationId xmlns:a16="http://schemas.microsoft.com/office/drawing/2014/main" id="{00000000-0008-0000-0000-0000C6000000}"/>
            </a:ext>
          </a:extLst>
        </xdr:cNvPr>
        <xdr:cNvSpPr>
          <a:spLocks noChangeArrowheads="1"/>
        </xdr:cNvSpPr>
      </xdr:nvSpPr>
      <xdr:spPr bwMode="auto">
        <a:xfrm>
          <a:off x="3810000" y="115995450"/>
          <a:ext cx="400050" cy="333375"/>
        </a:xfrm>
        <a:prstGeom prst="ellipse">
          <a:avLst/>
        </a:prstGeom>
        <a:solidFill>
          <a:srgbClr val="FFFFFF"/>
        </a:solidFill>
        <a:ln w="9525">
          <a:solidFill>
            <a:srgbClr val="000000"/>
          </a:solidFill>
          <a:round/>
          <a:headEnd/>
          <a:tailEnd/>
        </a:ln>
      </xdr:spPr>
      <xdr:txBody>
        <a:bodyPr vertOverflow="clip" wrap="square" lIns="91440" tIns="45720" rIns="91440" bIns="45720" anchor="t" upright="1"/>
        <a:lstStyle/>
        <a:p>
          <a:pPr algn="l" rtl="0">
            <a:defRPr sz="1000"/>
          </a:pPr>
          <a:r>
            <a:rPr lang="ro-RO" sz="800" b="0" i="0" u="none" strike="noStrike" baseline="0">
              <a:solidFill>
                <a:srgbClr val="000000"/>
              </a:solidFill>
              <a:latin typeface="Times New Roman"/>
              <a:cs typeface="Times New Roman"/>
            </a:rPr>
            <a:t>G</a:t>
          </a:r>
          <a:endParaRPr lang="en-US" sz="1000" b="0" i="0" u="none" strike="noStrike" baseline="0">
            <a:solidFill>
              <a:srgbClr val="000000"/>
            </a:solidFill>
            <a:latin typeface="Times New Roman"/>
            <a:cs typeface="Times New Roman"/>
          </a:endParaRPr>
        </a:p>
        <a:p>
          <a:pPr algn="l" rtl="0">
            <a:defRPr sz="1000"/>
          </a:pPr>
          <a:endParaRPr lang="en-US" sz="1000" b="0" i="0" u="none" strike="noStrike" baseline="0">
            <a:solidFill>
              <a:srgbClr val="000000"/>
            </a:solidFill>
            <a:latin typeface="Times New Roman"/>
            <a:cs typeface="Times New Roman"/>
          </a:endParaRPr>
        </a:p>
      </xdr:txBody>
    </xdr:sp>
    <xdr:clientData/>
  </xdr:twoCellAnchor>
  <xdr:twoCellAnchor>
    <xdr:from>
      <xdr:col>1</xdr:col>
      <xdr:colOff>333375</xdr:colOff>
      <xdr:row>179</xdr:row>
      <xdr:rowOff>314325</xdr:rowOff>
    </xdr:from>
    <xdr:to>
      <xdr:col>1</xdr:col>
      <xdr:colOff>1819275</xdr:colOff>
      <xdr:row>179</xdr:row>
      <xdr:rowOff>314325</xdr:rowOff>
    </xdr:to>
    <xdr:sp macro="" textlink="">
      <xdr:nvSpPr>
        <xdr:cNvPr id="199" name="Line 1009">
          <a:extLst>
            <a:ext uri="{FF2B5EF4-FFF2-40B4-BE49-F238E27FC236}">
              <a16:creationId xmlns:a16="http://schemas.microsoft.com/office/drawing/2014/main" id="{00000000-0008-0000-0000-0000C7000000}"/>
            </a:ext>
          </a:extLst>
        </xdr:cNvPr>
        <xdr:cNvSpPr>
          <a:spLocks noChangeShapeType="1"/>
        </xdr:cNvSpPr>
      </xdr:nvSpPr>
      <xdr:spPr bwMode="auto">
        <a:xfrm>
          <a:off x="2333625" y="116166900"/>
          <a:ext cx="1485900" cy="0"/>
        </a:xfrm>
        <a:prstGeom prst="line">
          <a:avLst/>
        </a:prstGeom>
        <a:noFill/>
        <a:ln w="9525">
          <a:solidFill>
            <a:srgbClr val="000000"/>
          </a:solidFill>
          <a:round/>
          <a:headEnd/>
          <a:tailEnd/>
        </a:ln>
      </xdr:spPr>
    </xdr:sp>
    <xdr:clientData/>
  </xdr:twoCellAnchor>
  <xdr:twoCellAnchor>
    <xdr:from>
      <xdr:col>1</xdr:col>
      <xdr:colOff>552450</xdr:colOff>
      <xdr:row>179</xdr:row>
      <xdr:rowOff>257175</xdr:rowOff>
    </xdr:from>
    <xdr:to>
      <xdr:col>1</xdr:col>
      <xdr:colOff>552450</xdr:colOff>
      <xdr:row>179</xdr:row>
      <xdr:rowOff>371475</xdr:rowOff>
    </xdr:to>
    <xdr:sp macro="" textlink="">
      <xdr:nvSpPr>
        <xdr:cNvPr id="200" name="Line 1010">
          <a:extLst>
            <a:ext uri="{FF2B5EF4-FFF2-40B4-BE49-F238E27FC236}">
              <a16:creationId xmlns:a16="http://schemas.microsoft.com/office/drawing/2014/main" id="{00000000-0008-0000-0000-0000C8000000}"/>
            </a:ext>
          </a:extLst>
        </xdr:cNvPr>
        <xdr:cNvSpPr>
          <a:spLocks noChangeShapeType="1"/>
        </xdr:cNvSpPr>
      </xdr:nvSpPr>
      <xdr:spPr bwMode="auto">
        <a:xfrm rot="2265785">
          <a:off x="2552700" y="116109750"/>
          <a:ext cx="0" cy="114300"/>
        </a:xfrm>
        <a:prstGeom prst="line">
          <a:avLst/>
        </a:prstGeom>
        <a:noFill/>
        <a:ln w="9525">
          <a:solidFill>
            <a:srgbClr val="000000"/>
          </a:solidFill>
          <a:round/>
          <a:headEnd/>
          <a:tailEnd/>
        </a:ln>
      </xdr:spPr>
    </xdr:sp>
    <xdr:clientData/>
  </xdr:twoCellAnchor>
  <xdr:twoCellAnchor>
    <xdr:from>
      <xdr:col>1</xdr:col>
      <xdr:colOff>1066800</xdr:colOff>
      <xdr:row>179</xdr:row>
      <xdr:rowOff>257175</xdr:rowOff>
    </xdr:from>
    <xdr:to>
      <xdr:col>1</xdr:col>
      <xdr:colOff>1066800</xdr:colOff>
      <xdr:row>179</xdr:row>
      <xdr:rowOff>371475</xdr:rowOff>
    </xdr:to>
    <xdr:sp macro="" textlink="">
      <xdr:nvSpPr>
        <xdr:cNvPr id="201" name="Line 1011">
          <a:extLst>
            <a:ext uri="{FF2B5EF4-FFF2-40B4-BE49-F238E27FC236}">
              <a16:creationId xmlns:a16="http://schemas.microsoft.com/office/drawing/2014/main" id="{00000000-0008-0000-0000-0000C9000000}"/>
            </a:ext>
          </a:extLst>
        </xdr:cNvPr>
        <xdr:cNvSpPr>
          <a:spLocks noChangeShapeType="1"/>
        </xdr:cNvSpPr>
      </xdr:nvSpPr>
      <xdr:spPr bwMode="auto">
        <a:xfrm rot="2265785">
          <a:off x="3067050" y="116109750"/>
          <a:ext cx="0" cy="114300"/>
        </a:xfrm>
        <a:prstGeom prst="line">
          <a:avLst/>
        </a:prstGeom>
        <a:noFill/>
        <a:ln w="9525">
          <a:solidFill>
            <a:srgbClr val="000000"/>
          </a:solidFill>
          <a:round/>
          <a:headEnd/>
          <a:tailEnd/>
        </a:ln>
      </xdr:spPr>
    </xdr:sp>
    <xdr:clientData/>
  </xdr:twoCellAnchor>
  <xdr:twoCellAnchor>
    <xdr:from>
      <xdr:col>1</xdr:col>
      <xdr:colOff>800100</xdr:colOff>
      <xdr:row>179</xdr:row>
      <xdr:rowOff>257175</xdr:rowOff>
    </xdr:from>
    <xdr:to>
      <xdr:col>1</xdr:col>
      <xdr:colOff>800100</xdr:colOff>
      <xdr:row>179</xdr:row>
      <xdr:rowOff>371475</xdr:rowOff>
    </xdr:to>
    <xdr:sp macro="" textlink="">
      <xdr:nvSpPr>
        <xdr:cNvPr id="202" name="Line 1012">
          <a:extLst>
            <a:ext uri="{FF2B5EF4-FFF2-40B4-BE49-F238E27FC236}">
              <a16:creationId xmlns:a16="http://schemas.microsoft.com/office/drawing/2014/main" id="{00000000-0008-0000-0000-0000CA000000}"/>
            </a:ext>
          </a:extLst>
        </xdr:cNvPr>
        <xdr:cNvSpPr>
          <a:spLocks noChangeShapeType="1"/>
        </xdr:cNvSpPr>
      </xdr:nvSpPr>
      <xdr:spPr bwMode="auto">
        <a:xfrm rot="2265785">
          <a:off x="2800350" y="116109750"/>
          <a:ext cx="0" cy="114300"/>
        </a:xfrm>
        <a:prstGeom prst="line">
          <a:avLst/>
        </a:prstGeom>
        <a:noFill/>
        <a:ln w="9525">
          <a:solidFill>
            <a:srgbClr val="000000"/>
          </a:solidFill>
          <a:round/>
          <a:headEnd/>
          <a:tailEnd/>
        </a:ln>
      </xdr:spPr>
    </xdr:sp>
    <xdr:clientData/>
  </xdr:twoCellAnchor>
  <xdr:twoCellAnchor>
    <xdr:from>
      <xdr:col>1</xdr:col>
      <xdr:colOff>752475</xdr:colOff>
      <xdr:row>179</xdr:row>
      <xdr:rowOff>304800</xdr:rowOff>
    </xdr:from>
    <xdr:to>
      <xdr:col>1</xdr:col>
      <xdr:colOff>866775</xdr:colOff>
      <xdr:row>179</xdr:row>
      <xdr:rowOff>304800</xdr:rowOff>
    </xdr:to>
    <xdr:sp macro="" textlink="">
      <xdr:nvSpPr>
        <xdr:cNvPr id="203" name="Line 1013">
          <a:extLst>
            <a:ext uri="{FF2B5EF4-FFF2-40B4-BE49-F238E27FC236}">
              <a16:creationId xmlns:a16="http://schemas.microsoft.com/office/drawing/2014/main" id="{00000000-0008-0000-0000-0000CB000000}"/>
            </a:ext>
          </a:extLst>
        </xdr:cNvPr>
        <xdr:cNvSpPr>
          <a:spLocks noChangeShapeType="1"/>
        </xdr:cNvSpPr>
      </xdr:nvSpPr>
      <xdr:spPr bwMode="auto">
        <a:xfrm rot="-3134215">
          <a:off x="2809875" y="116100225"/>
          <a:ext cx="0" cy="114300"/>
        </a:xfrm>
        <a:prstGeom prst="line">
          <a:avLst/>
        </a:prstGeom>
        <a:noFill/>
        <a:ln w="9525">
          <a:solidFill>
            <a:srgbClr val="000000"/>
          </a:solidFill>
          <a:round/>
          <a:headEnd/>
          <a:tailEnd/>
        </a:ln>
      </xdr:spPr>
    </xdr:sp>
    <xdr:clientData/>
  </xdr:twoCellAnchor>
  <xdr:twoCellAnchor>
    <xdr:from>
      <xdr:col>1</xdr:col>
      <xdr:colOff>95250</xdr:colOff>
      <xdr:row>179</xdr:row>
      <xdr:rowOff>314325</xdr:rowOff>
    </xdr:from>
    <xdr:to>
      <xdr:col>1</xdr:col>
      <xdr:colOff>323850</xdr:colOff>
      <xdr:row>179</xdr:row>
      <xdr:rowOff>314325</xdr:rowOff>
    </xdr:to>
    <xdr:sp macro="" textlink="">
      <xdr:nvSpPr>
        <xdr:cNvPr id="204" name="Line 1014">
          <a:extLst>
            <a:ext uri="{FF2B5EF4-FFF2-40B4-BE49-F238E27FC236}">
              <a16:creationId xmlns:a16="http://schemas.microsoft.com/office/drawing/2014/main" id="{00000000-0008-0000-0000-0000CC000000}"/>
            </a:ext>
          </a:extLst>
        </xdr:cNvPr>
        <xdr:cNvSpPr>
          <a:spLocks noChangeShapeType="1"/>
        </xdr:cNvSpPr>
      </xdr:nvSpPr>
      <xdr:spPr bwMode="auto">
        <a:xfrm>
          <a:off x="2095500" y="116166900"/>
          <a:ext cx="228600" cy="0"/>
        </a:xfrm>
        <a:prstGeom prst="line">
          <a:avLst/>
        </a:prstGeom>
        <a:noFill/>
        <a:ln w="9525">
          <a:solidFill>
            <a:srgbClr val="000000"/>
          </a:solidFill>
          <a:round/>
          <a:headEnd/>
          <a:tailEnd type="triangle" w="med" len="med"/>
        </a:ln>
      </xdr:spPr>
    </xdr:sp>
    <xdr:clientData/>
  </xdr:twoCellAnchor>
  <xdr:twoCellAnchor>
    <xdr:from>
      <xdr:col>1</xdr:col>
      <xdr:colOff>390525</xdr:colOff>
      <xdr:row>179</xdr:row>
      <xdr:rowOff>409575</xdr:rowOff>
    </xdr:from>
    <xdr:to>
      <xdr:col>1</xdr:col>
      <xdr:colOff>733425</xdr:colOff>
      <xdr:row>179</xdr:row>
      <xdr:rowOff>752475</xdr:rowOff>
    </xdr:to>
    <xdr:sp macro="" textlink="">
      <xdr:nvSpPr>
        <xdr:cNvPr id="205" name="Text Box 1015">
          <a:extLst>
            <a:ext uri="{FF2B5EF4-FFF2-40B4-BE49-F238E27FC236}">
              <a16:creationId xmlns:a16="http://schemas.microsoft.com/office/drawing/2014/main" id="{00000000-0008-0000-0000-0000CD000000}"/>
            </a:ext>
          </a:extLst>
        </xdr:cNvPr>
        <xdr:cNvSpPr txBox="1">
          <a:spLocks noChangeArrowheads="1"/>
        </xdr:cNvSpPr>
      </xdr:nvSpPr>
      <xdr:spPr bwMode="auto">
        <a:xfrm>
          <a:off x="2390775" y="116262150"/>
          <a:ext cx="342900" cy="342900"/>
        </a:xfrm>
        <a:prstGeom prst="rect">
          <a:avLst/>
        </a:prstGeom>
        <a:solidFill>
          <a:srgbClr val="FFFFFF"/>
        </a:solidFill>
        <a:ln w="9525">
          <a:noFill/>
          <a:miter lim="800000"/>
          <a:headEnd/>
          <a:tailEnd/>
        </a:ln>
      </xdr:spPr>
      <xdr:txBody>
        <a:bodyPr vertOverflow="clip" wrap="square" lIns="91440" tIns="45720" rIns="91440" bIns="45720" anchor="t" upright="1"/>
        <a:lstStyle/>
        <a:p>
          <a:pPr algn="l" rtl="0">
            <a:defRPr sz="1000"/>
          </a:pPr>
          <a:r>
            <a:rPr lang="en-US" sz="1200" b="0" i="0" u="none" strike="noStrike" baseline="0">
              <a:solidFill>
                <a:srgbClr val="000000"/>
              </a:solidFill>
              <a:latin typeface="Times New Roman"/>
              <a:cs typeface="Times New Roman"/>
            </a:rPr>
            <a:t>S</a:t>
          </a:r>
          <a:r>
            <a:rPr lang="en-US" sz="900" b="0" i="0" u="none" strike="noStrike" baseline="0">
              <a:solidFill>
                <a:srgbClr val="000000"/>
              </a:solidFill>
              <a:latin typeface="Times New Roman"/>
              <a:cs typeface="Times New Roman"/>
            </a:rPr>
            <a:t>1</a:t>
          </a:r>
          <a:r>
            <a:rPr lang="en-US" sz="1200" b="0" i="0" u="none" strike="noStrike" baseline="0">
              <a:solidFill>
                <a:srgbClr val="000000"/>
              </a:solidFill>
              <a:latin typeface="Times New Roman"/>
              <a:cs typeface="Times New Roman"/>
            </a:rPr>
            <a:t>1</a:t>
          </a:r>
        </a:p>
        <a:p>
          <a:pPr algn="l" rtl="0">
            <a:defRPr sz="1000"/>
          </a:pPr>
          <a:endParaRPr lang="en-US" sz="1200" b="0" i="0" u="none" strike="noStrike" baseline="0">
            <a:solidFill>
              <a:srgbClr val="000000"/>
            </a:solidFill>
            <a:latin typeface="Times New Roman"/>
            <a:cs typeface="Times New Roman"/>
          </a:endParaRPr>
        </a:p>
      </xdr:txBody>
    </xdr:sp>
    <xdr:clientData/>
  </xdr:twoCellAnchor>
  <xdr:twoCellAnchor>
    <xdr:from>
      <xdr:col>1</xdr:col>
      <xdr:colOff>904875</xdr:colOff>
      <xdr:row>179</xdr:row>
      <xdr:rowOff>390525</xdr:rowOff>
    </xdr:from>
    <xdr:to>
      <xdr:col>1</xdr:col>
      <xdr:colOff>1362075</xdr:colOff>
      <xdr:row>179</xdr:row>
      <xdr:rowOff>676275</xdr:rowOff>
    </xdr:to>
    <xdr:sp macro="" textlink="">
      <xdr:nvSpPr>
        <xdr:cNvPr id="206" name="Text Box 1016">
          <a:extLst>
            <a:ext uri="{FF2B5EF4-FFF2-40B4-BE49-F238E27FC236}">
              <a16:creationId xmlns:a16="http://schemas.microsoft.com/office/drawing/2014/main" id="{00000000-0008-0000-0000-0000CE000000}"/>
            </a:ext>
          </a:extLst>
        </xdr:cNvPr>
        <xdr:cNvSpPr txBox="1">
          <a:spLocks noChangeArrowheads="1"/>
        </xdr:cNvSpPr>
      </xdr:nvSpPr>
      <xdr:spPr bwMode="auto">
        <a:xfrm>
          <a:off x="2905125" y="116243100"/>
          <a:ext cx="457200" cy="285750"/>
        </a:xfrm>
        <a:prstGeom prst="rect">
          <a:avLst/>
        </a:prstGeom>
        <a:solidFill>
          <a:srgbClr val="FFFFFF"/>
        </a:solidFill>
        <a:ln w="9525">
          <a:noFill/>
          <a:miter lim="800000"/>
          <a:headEnd/>
          <a:tailEnd/>
        </a:ln>
      </xdr:spPr>
      <xdr:txBody>
        <a:bodyPr vertOverflow="clip" wrap="square" lIns="91440" tIns="45720" rIns="91440" bIns="45720" anchor="t" upright="1"/>
        <a:lstStyle/>
        <a:p>
          <a:pPr algn="l" rtl="0">
            <a:defRPr sz="1000"/>
          </a:pPr>
          <a:r>
            <a:rPr lang="en-US" sz="1200" b="0" i="0" u="none" strike="noStrike" baseline="0">
              <a:solidFill>
                <a:srgbClr val="000000"/>
              </a:solidFill>
              <a:latin typeface="Times New Roman"/>
              <a:cs typeface="Times New Roman"/>
            </a:rPr>
            <a:t>S</a:t>
          </a:r>
          <a:r>
            <a:rPr lang="en-US" sz="900" b="0" i="0" u="none" strike="noStrike" baseline="0">
              <a:solidFill>
                <a:srgbClr val="000000"/>
              </a:solidFill>
              <a:latin typeface="Times New Roman"/>
              <a:cs typeface="Times New Roman"/>
            </a:rPr>
            <a:t>2</a:t>
          </a:r>
          <a:endParaRPr lang="en-US" sz="1200" b="0" i="0" u="none" strike="noStrike" baseline="0">
            <a:solidFill>
              <a:srgbClr val="000000"/>
            </a:solidFill>
            <a:latin typeface="Times New Roman"/>
            <a:cs typeface="Times New Roman"/>
          </a:endParaRPr>
        </a:p>
        <a:p>
          <a:pPr algn="l" rtl="0">
            <a:defRPr sz="1000"/>
          </a:pPr>
          <a:endParaRPr lang="en-US" sz="1200" b="0" i="0" u="none" strike="noStrike" baseline="0">
            <a:solidFill>
              <a:srgbClr val="000000"/>
            </a:solidFill>
            <a:latin typeface="Times New Roman"/>
            <a:cs typeface="Times New Roman"/>
          </a:endParaRPr>
        </a:p>
      </xdr:txBody>
    </xdr:sp>
    <xdr:clientData/>
  </xdr:twoCellAnchor>
  <xdr:twoCellAnchor>
    <xdr:from>
      <xdr:col>1</xdr:col>
      <xdr:colOff>333375</xdr:colOff>
      <xdr:row>179</xdr:row>
      <xdr:rowOff>123825</xdr:rowOff>
    </xdr:from>
    <xdr:to>
      <xdr:col>1</xdr:col>
      <xdr:colOff>333375</xdr:colOff>
      <xdr:row>179</xdr:row>
      <xdr:rowOff>581025</xdr:rowOff>
    </xdr:to>
    <xdr:sp macro="" textlink="">
      <xdr:nvSpPr>
        <xdr:cNvPr id="207" name="Line 1017">
          <a:extLst>
            <a:ext uri="{FF2B5EF4-FFF2-40B4-BE49-F238E27FC236}">
              <a16:creationId xmlns:a16="http://schemas.microsoft.com/office/drawing/2014/main" id="{00000000-0008-0000-0000-0000CF000000}"/>
            </a:ext>
          </a:extLst>
        </xdr:cNvPr>
        <xdr:cNvSpPr>
          <a:spLocks noChangeShapeType="1"/>
        </xdr:cNvSpPr>
      </xdr:nvSpPr>
      <xdr:spPr bwMode="auto">
        <a:xfrm>
          <a:off x="2333625" y="115976400"/>
          <a:ext cx="0" cy="457200"/>
        </a:xfrm>
        <a:prstGeom prst="line">
          <a:avLst/>
        </a:prstGeom>
        <a:noFill/>
        <a:ln w="38100">
          <a:solidFill>
            <a:srgbClr val="000000"/>
          </a:solidFill>
          <a:round/>
          <a:headEnd/>
          <a:tailEnd/>
        </a:ln>
      </xdr:spPr>
    </xdr:sp>
    <xdr:clientData/>
  </xdr:twoCellAnchor>
  <xdr:twoCellAnchor>
    <xdr:from>
      <xdr:col>1</xdr:col>
      <xdr:colOff>800100</xdr:colOff>
      <xdr:row>179</xdr:row>
      <xdr:rowOff>257175</xdr:rowOff>
    </xdr:from>
    <xdr:to>
      <xdr:col>1</xdr:col>
      <xdr:colOff>800100</xdr:colOff>
      <xdr:row>179</xdr:row>
      <xdr:rowOff>371475</xdr:rowOff>
    </xdr:to>
    <xdr:sp macro="" textlink="">
      <xdr:nvSpPr>
        <xdr:cNvPr id="208" name="Line 1012">
          <a:extLst>
            <a:ext uri="{FF2B5EF4-FFF2-40B4-BE49-F238E27FC236}">
              <a16:creationId xmlns:a16="http://schemas.microsoft.com/office/drawing/2014/main" id="{00000000-0008-0000-0000-0000D0000000}"/>
            </a:ext>
          </a:extLst>
        </xdr:cNvPr>
        <xdr:cNvSpPr>
          <a:spLocks noChangeShapeType="1"/>
        </xdr:cNvSpPr>
      </xdr:nvSpPr>
      <xdr:spPr bwMode="auto">
        <a:xfrm rot="2265785">
          <a:off x="2800350" y="116109750"/>
          <a:ext cx="0" cy="114300"/>
        </a:xfrm>
        <a:prstGeom prst="line">
          <a:avLst/>
        </a:prstGeom>
        <a:noFill/>
        <a:ln w="9525">
          <a:solidFill>
            <a:srgbClr val="000000"/>
          </a:solidFill>
          <a:round/>
          <a:headEnd/>
          <a:tailEnd/>
        </a:ln>
      </xdr:spPr>
    </xdr:sp>
    <xdr:clientData/>
  </xdr:twoCellAnchor>
  <xdr:twoCellAnchor>
    <xdr:from>
      <xdr:col>1</xdr:col>
      <xdr:colOff>457200</xdr:colOff>
      <xdr:row>41</xdr:row>
      <xdr:rowOff>85725</xdr:rowOff>
    </xdr:from>
    <xdr:to>
      <xdr:col>1</xdr:col>
      <xdr:colOff>2209800</xdr:colOff>
      <xdr:row>41</xdr:row>
      <xdr:rowOff>2088696</xdr:rowOff>
    </xdr:to>
    <xdr:grpSp>
      <xdr:nvGrpSpPr>
        <xdr:cNvPr id="209" name="Group 783">
          <a:extLst>
            <a:ext uri="{FF2B5EF4-FFF2-40B4-BE49-F238E27FC236}">
              <a16:creationId xmlns:a16="http://schemas.microsoft.com/office/drawing/2014/main" id="{00000000-0008-0000-0000-0000D1000000}"/>
            </a:ext>
          </a:extLst>
        </xdr:cNvPr>
        <xdr:cNvGrpSpPr>
          <a:grpSpLocks noChangeAspect="1"/>
        </xdr:cNvGrpSpPr>
      </xdr:nvGrpSpPr>
      <xdr:grpSpPr bwMode="auto">
        <a:xfrm>
          <a:off x="987879" y="24401689"/>
          <a:ext cx="1752600" cy="2002971"/>
          <a:chOff x="2700" y="2724"/>
          <a:chExt cx="3500" cy="3780"/>
        </a:xfrm>
      </xdr:grpSpPr>
      <xdr:sp macro="" textlink="">
        <xdr:nvSpPr>
          <xdr:cNvPr id="210" name="AutoShape 784">
            <a:extLst>
              <a:ext uri="{FF2B5EF4-FFF2-40B4-BE49-F238E27FC236}">
                <a16:creationId xmlns:a16="http://schemas.microsoft.com/office/drawing/2014/main" id="{00000000-0008-0000-0000-0000D2000000}"/>
              </a:ext>
            </a:extLst>
          </xdr:cNvPr>
          <xdr:cNvSpPr>
            <a:spLocks noChangeAspect="1" noChangeArrowheads="1"/>
          </xdr:cNvSpPr>
        </xdr:nvSpPr>
        <xdr:spPr bwMode="auto">
          <a:xfrm>
            <a:off x="2700" y="2724"/>
            <a:ext cx="3500" cy="3780"/>
          </a:xfrm>
          <a:prstGeom prst="rect">
            <a:avLst/>
          </a:prstGeom>
          <a:noFill/>
          <a:ln w="9525">
            <a:noFill/>
            <a:miter lim="800000"/>
            <a:headEnd/>
            <a:tailEnd/>
          </a:ln>
        </xdr:spPr>
      </xdr:sp>
      <xdr:sp macro="" textlink="">
        <xdr:nvSpPr>
          <xdr:cNvPr id="211" name="Rectangle 785">
            <a:extLst>
              <a:ext uri="{FF2B5EF4-FFF2-40B4-BE49-F238E27FC236}">
                <a16:creationId xmlns:a16="http://schemas.microsoft.com/office/drawing/2014/main" id="{00000000-0008-0000-0000-0000D3000000}"/>
              </a:ext>
            </a:extLst>
          </xdr:cNvPr>
          <xdr:cNvSpPr>
            <a:spLocks noChangeArrowheads="1"/>
          </xdr:cNvSpPr>
        </xdr:nvSpPr>
        <xdr:spPr bwMode="auto">
          <a:xfrm>
            <a:off x="3420" y="2904"/>
            <a:ext cx="1980" cy="3060"/>
          </a:xfrm>
          <a:prstGeom prst="rect">
            <a:avLst/>
          </a:prstGeom>
          <a:solidFill>
            <a:srgbClr val="FFFFFF"/>
          </a:solidFill>
          <a:ln w="9525">
            <a:solidFill>
              <a:srgbClr val="000000"/>
            </a:solidFill>
            <a:miter lim="800000"/>
            <a:headEnd/>
            <a:tailEnd/>
          </a:ln>
        </xdr:spPr>
      </xdr:sp>
      <xdr:sp macro="" textlink="">
        <xdr:nvSpPr>
          <xdr:cNvPr id="212" name="Line 786">
            <a:extLst>
              <a:ext uri="{FF2B5EF4-FFF2-40B4-BE49-F238E27FC236}">
                <a16:creationId xmlns:a16="http://schemas.microsoft.com/office/drawing/2014/main" id="{00000000-0008-0000-0000-0000D4000000}"/>
              </a:ext>
            </a:extLst>
          </xdr:cNvPr>
          <xdr:cNvSpPr>
            <a:spLocks noChangeShapeType="1"/>
          </xdr:cNvSpPr>
        </xdr:nvSpPr>
        <xdr:spPr bwMode="auto">
          <a:xfrm>
            <a:off x="3780" y="3264"/>
            <a:ext cx="0" cy="180"/>
          </a:xfrm>
          <a:prstGeom prst="line">
            <a:avLst/>
          </a:prstGeom>
          <a:noFill/>
          <a:ln w="9525">
            <a:solidFill>
              <a:srgbClr val="000000"/>
            </a:solidFill>
            <a:round/>
            <a:headEnd/>
            <a:tailEnd/>
          </a:ln>
        </xdr:spPr>
      </xdr:sp>
      <xdr:sp macro="" textlink="">
        <xdr:nvSpPr>
          <xdr:cNvPr id="213" name="Line 787">
            <a:extLst>
              <a:ext uri="{FF2B5EF4-FFF2-40B4-BE49-F238E27FC236}">
                <a16:creationId xmlns:a16="http://schemas.microsoft.com/office/drawing/2014/main" id="{00000000-0008-0000-0000-0000D5000000}"/>
              </a:ext>
            </a:extLst>
          </xdr:cNvPr>
          <xdr:cNvSpPr>
            <a:spLocks noChangeShapeType="1"/>
          </xdr:cNvSpPr>
        </xdr:nvSpPr>
        <xdr:spPr bwMode="auto">
          <a:xfrm>
            <a:off x="3780" y="3944"/>
            <a:ext cx="1" cy="180"/>
          </a:xfrm>
          <a:prstGeom prst="line">
            <a:avLst/>
          </a:prstGeom>
          <a:noFill/>
          <a:ln w="9525">
            <a:solidFill>
              <a:srgbClr val="000000"/>
            </a:solidFill>
            <a:round/>
            <a:headEnd/>
            <a:tailEnd/>
          </a:ln>
        </xdr:spPr>
      </xdr:sp>
      <xdr:sp macro="" textlink="">
        <xdr:nvSpPr>
          <xdr:cNvPr id="214" name="Line 788">
            <a:extLst>
              <a:ext uri="{FF2B5EF4-FFF2-40B4-BE49-F238E27FC236}">
                <a16:creationId xmlns:a16="http://schemas.microsoft.com/office/drawing/2014/main" id="{00000000-0008-0000-0000-0000D6000000}"/>
              </a:ext>
            </a:extLst>
          </xdr:cNvPr>
          <xdr:cNvSpPr>
            <a:spLocks noChangeShapeType="1"/>
          </xdr:cNvSpPr>
        </xdr:nvSpPr>
        <xdr:spPr bwMode="auto">
          <a:xfrm>
            <a:off x="3780" y="3614"/>
            <a:ext cx="1" cy="180"/>
          </a:xfrm>
          <a:prstGeom prst="line">
            <a:avLst/>
          </a:prstGeom>
          <a:noFill/>
          <a:ln w="9525">
            <a:solidFill>
              <a:srgbClr val="000000"/>
            </a:solidFill>
            <a:round/>
            <a:headEnd/>
            <a:tailEnd/>
          </a:ln>
        </xdr:spPr>
      </xdr:sp>
      <xdr:sp macro="" textlink="">
        <xdr:nvSpPr>
          <xdr:cNvPr id="215" name="Line 789">
            <a:extLst>
              <a:ext uri="{FF2B5EF4-FFF2-40B4-BE49-F238E27FC236}">
                <a16:creationId xmlns:a16="http://schemas.microsoft.com/office/drawing/2014/main" id="{00000000-0008-0000-0000-0000D7000000}"/>
              </a:ext>
            </a:extLst>
          </xdr:cNvPr>
          <xdr:cNvSpPr>
            <a:spLocks noChangeShapeType="1"/>
          </xdr:cNvSpPr>
        </xdr:nvSpPr>
        <xdr:spPr bwMode="auto">
          <a:xfrm rot="-5400000">
            <a:off x="3869" y="3625"/>
            <a:ext cx="1" cy="180"/>
          </a:xfrm>
          <a:prstGeom prst="line">
            <a:avLst/>
          </a:prstGeom>
          <a:noFill/>
          <a:ln w="9525">
            <a:solidFill>
              <a:srgbClr val="000000"/>
            </a:solidFill>
            <a:round/>
            <a:headEnd/>
            <a:tailEnd/>
          </a:ln>
        </xdr:spPr>
      </xdr:sp>
      <xdr:sp macro="" textlink="">
        <xdr:nvSpPr>
          <xdr:cNvPr id="216" name="Line 790">
            <a:extLst>
              <a:ext uri="{FF2B5EF4-FFF2-40B4-BE49-F238E27FC236}">
                <a16:creationId xmlns:a16="http://schemas.microsoft.com/office/drawing/2014/main" id="{00000000-0008-0000-0000-0000D8000000}"/>
              </a:ext>
            </a:extLst>
          </xdr:cNvPr>
          <xdr:cNvSpPr>
            <a:spLocks noChangeShapeType="1"/>
          </xdr:cNvSpPr>
        </xdr:nvSpPr>
        <xdr:spPr bwMode="auto">
          <a:xfrm rot="-5400000">
            <a:off x="3869" y="3945"/>
            <a:ext cx="1" cy="180"/>
          </a:xfrm>
          <a:prstGeom prst="line">
            <a:avLst/>
          </a:prstGeom>
          <a:noFill/>
          <a:ln w="9525">
            <a:solidFill>
              <a:srgbClr val="000000"/>
            </a:solidFill>
            <a:round/>
            <a:headEnd/>
            <a:tailEnd/>
          </a:ln>
        </xdr:spPr>
      </xdr:sp>
      <xdr:sp macro="" textlink="">
        <xdr:nvSpPr>
          <xdr:cNvPr id="217" name="Line 791">
            <a:extLst>
              <a:ext uri="{FF2B5EF4-FFF2-40B4-BE49-F238E27FC236}">
                <a16:creationId xmlns:a16="http://schemas.microsoft.com/office/drawing/2014/main" id="{00000000-0008-0000-0000-0000D9000000}"/>
              </a:ext>
            </a:extLst>
          </xdr:cNvPr>
          <xdr:cNvSpPr>
            <a:spLocks noChangeShapeType="1"/>
          </xdr:cNvSpPr>
        </xdr:nvSpPr>
        <xdr:spPr bwMode="auto">
          <a:xfrm rot="-5400000">
            <a:off x="3869" y="3255"/>
            <a:ext cx="1" cy="180"/>
          </a:xfrm>
          <a:prstGeom prst="line">
            <a:avLst/>
          </a:prstGeom>
          <a:noFill/>
          <a:ln w="9525">
            <a:solidFill>
              <a:srgbClr val="000000"/>
            </a:solidFill>
            <a:round/>
            <a:headEnd/>
            <a:tailEnd/>
          </a:ln>
        </xdr:spPr>
      </xdr:sp>
      <xdr:sp macro="" textlink="">
        <xdr:nvSpPr>
          <xdr:cNvPr id="218" name="Line 792">
            <a:extLst>
              <a:ext uri="{FF2B5EF4-FFF2-40B4-BE49-F238E27FC236}">
                <a16:creationId xmlns:a16="http://schemas.microsoft.com/office/drawing/2014/main" id="{00000000-0008-0000-0000-0000DA000000}"/>
              </a:ext>
            </a:extLst>
          </xdr:cNvPr>
          <xdr:cNvSpPr>
            <a:spLocks noChangeShapeType="1"/>
          </xdr:cNvSpPr>
        </xdr:nvSpPr>
        <xdr:spPr bwMode="auto">
          <a:xfrm>
            <a:off x="3980" y="3334"/>
            <a:ext cx="1" cy="900"/>
          </a:xfrm>
          <a:prstGeom prst="line">
            <a:avLst/>
          </a:prstGeom>
          <a:noFill/>
          <a:ln w="9525">
            <a:solidFill>
              <a:srgbClr val="000000"/>
            </a:solidFill>
            <a:round/>
            <a:headEnd/>
            <a:tailEnd/>
          </a:ln>
        </xdr:spPr>
      </xdr:sp>
      <xdr:sp macro="" textlink="">
        <xdr:nvSpPr>
          <xdr:cNvPr id="219" name="Line 793">
            <a:extLst>
              <a:ext uri="{FF2B5EF4-FFF2-40B4-BE49-F238E27FC236}">
                <a16:creationId xmlns:a16="http://schemas.microsoft.com/office/drawing/2014/main" id="{00000000-0008-0000-0000-0000DB000000}"/>
              </a:ext>
            </a:extLst>
          </xdr:cNvPr>
          <xdr:cNvSpPr>
            <a:spLocks noChangeShapeType="1"/>
          </xdr:cNvSpPr>
        </xdr:nvSpPr>
        <xdr:spPr bwMode="auto">
          <a:xfrm>
            <a:off x="3970" y="4834"/>
            <a:ext cx="360" cy="1"/>
          </a:xfrm>
          <a:prstGeom prst="line">
            <a:avLst/>
          </a:prstGeom>
          <a:noFill/>
          <a:ln w="9525">
            <a:solidFill>
              <a:srgbClr val="000000"/>
            </a:solidFill>
            <a:round/>
            <a:headEnd/>
            <a:tailEnd type="triangle" w="med" len="med"/>
          </a:ln>
        </xdr:spPr>
      </xdr:sp>
      <xdr:sp macro="" textlink="">
        <xdr:nvSpPr>
          <xdr:cNvPr id="220" name="Line 794">
            <a:extLst>
              <a:ext uri="{FF2B5EF4-FFF2-40B4-BE49-F238E27FC236}">
                <a16:creationId xmlns:a16="http://schemas.microsoft.com/office/drawing/2014/main" id="{00000000-0008-0000-0000-0000DC000000}"/>
              </a:ext>
            </a:extLst>
          </xdr:cNvPr>
          <xdr:cNvSpPr>
            <a:spLocks noChangeShapeType="1"/>
          </xdr:cNvSpPr>
        </xdr:nvSpPr>
        <xdr:spPr bwMode="auto">
          <a:xfrm>
            <a:off x="3980" y="4214"/>
            <a:ext cx="360" cy="1"/>
          </a:xfrm>
          <a:prstGeom prst="line">
            <a:avLst/>
          </a:prstGeom>
          <a:noFill/>
          <a:ln w="9525">
            <a:solidFill>
              <a:srgbClr val="000000"/>
            </a:solidFill>
            <a:round/>
            <a:headEnd/>
            <a:tailEnd type="triangle" w="med" len="med"/>
          </a:ln>
        </xdr:spPr>
      </xdr:sp>
      <xdr:sp macro="" textlink="">
        <xdr:nvSpPr>
          <xdr:cNvPr id="221" name="Line 795">
            <a:extLst>
              <a:ext uri="{FF2B5EF4-FFF2-40B4-BE49-F238E27FC236}">
                <a16:creationId xmlns:a16="http://schemas.microsoft.com/office/drawing/2014/main" id="{00000000-0008-0000-0000-0000DD000000}"/>
              </a:ext>
            </a:extLst>
          </xdr:cNvPr>
          <xdr:cNvSpPr>
            <a:spLocks noChangeShapeType="1"/>
          </xdr:cNvSpPr>
        </xdr:nvSpPr>
        <xdr:spPr bwMode="auto">
          <a:xfrm>
            <a:off x="3420" y="4524"/>
            <a:ext cx="900" cy="0"/>
          </a:xfrm>
          <a:prstGeom prst="line">
            <a:avLst/>
          </a:prstGeom>
          <a:noFill/>
          <a:ln w="9525">
            <a:solidFill>
              <a:srgbClr val="000000"/>
            </a:solidFill>
            <a:round/>
            <a:headEnd/>
            <a:tailEnd/>
          </a:ln>
        </xdr:spPr>
      </xdr:sp>
      <xdr:sp macro="" textlink="">
        <xdr:nvSpPr>
          <xdr:cNvPr id="222" name="Line 796">
            <a:extLst>
              <a:ext uri="{FF2B5EF4-FFF2-40B4-BE49-F238E27FC236}">
                <a16:creationId xmlns:a16="http://schemas.microsoft.com/office/drawing/2014/main" id="{00000000-0008-0000-0000-0000DE000000}"/>
              </a:ext>
            </a:extLst>
          </xdr:cNvPr>
          <xdr:cNvSpPr>
            <a:spLocks noChangeShapeType="1"/>
          </xdr:cNvSpPr>
        </xdr:nvSpPr>
        <xdr:spPr bwMode="auto">
          <a:xfrm>
            <a:off x="4860" y="4224"/>
            <a:ext cx="1" cy="180"/>
          </a:xfrm>
          <a:prstGeom prst="line">
            <a:avLst/>
          </a:prstGeom>
          <a:noFill/>
          <a:ln w="9525">
            <a:solidFill>
              <a:srgbClr val="000000"/>
            </a:solidFill>
            <a:round/>
            <a:headEnd/>
            <a:tailEnd/>
          </a:ln>
        </xdr:spPr>
      </xdr:sp>
      <xdr:sp macro="" textlink="">
        <xdr:nvSpPr>
          <xdr:cNvPr id="223" name="Line 797">
            <a:extLst>
              <a:ext uri="{FF2B5EF4-FFF2-40B4-BE49-F238E27FC236}">
                <a16:creationId xmlns:a16="http://schemas.microsoft.com/office/drawing/2014/main" id="{00000000-0008-0000-0000-0000DF000000}"/>
              </a:ext>
            </a:extLst>
          </xdr:cNvPr>
          <xdr:cNvSpPr>
            <a:spLocks noChangeShapeType="1"/>
          </xdr:cNvSpPr>
        </xdr:nvSpPr>
        <xdr:spPr bwMode="auto">
          <a:xfrm flipH="1">
            <a:off x="4320" y="4834"/>
            <a:ext cx="540" cy="1"/>
          </a:xfrm>
          <a:prstGeom prst="line">
            <a:avLst/>
          </a:prstGeom>
          <a:noFill/>
          <a:ln w="9525">
            <a:solidFill>
              <a:srgbClr val="000000"/>
            </a:solidFill>
            <a:round/>
            <a:headEnd/>
            <a:tailEnd type="triangle" w="med" len="med"/>
          </a:ln>
        </xdr:spPr>
      </xdr:sp>
      <xdr:sp macro="" textlink="">
        <xdr:nvSpPr>
          <xdr:cNvPr id="224" name="Line 798">
            <a:extLst>
              <a:ext uri="{FF2B5EF4-FFF2-40B4-BE49-F238E27FC236}">
                <a16:creationId xmlns:a16="http://schemas.microsoft.com/office/drawing/2014/main" id="{00000000-0008-0000-0000-0000E0000000}"/>
              </a:ext>
            </a:extLst>
          </xdr:cNvPr>
          <xdr:cNvSpPr>
            <a:spLocks noChangeShapeType="1"/>
          </xdr:cNvSpPr>
        </xdr:nvSpPr>
        <xdr:spPr bwMode="auto">
          <a:xfrm flipH="1">
            <a:off x="4340" y="4214"/>
            <a:ext cx="540" cy="1"/>
          </a:xfrm>
          <a:prstGeom prst="line">
            <a:avLst/>
          </a:prstGeom>
          <a:noFill/>
          <a:ln w="9525">
            <a:solidFill>
              <a:srgbClr val="000000"/>
            </a:solidFill>
            <a:round/>
            <a:headEnd/>
            <a:tailEnd type="triangle" w="med" len="med"/>
          </a:ln>
        </xdr:spPr>
      </xdr:sp>
      <xdr:sp macro="" textlink="">
        <xdr:nvSpPr>
          <xdr:cNvPr id="225" name="Line 799">
            <a:extLst>
              <a:ext uri="{FF2B5EF4-FFF2-40B4-BE49-F238E27FC236}">
                <a16:creationId xmlns:a16="http://schemas.microsoft.com/office/drawing/2014/main" id="{00000000-0008-0000-0000-0000E1000000}"/>
              </a:ext>
            </a:extLst>
          </xdr:cNvPr>
          <xdr:cNvSpPr>
            <a:spLocks noChangeShapeType="1"/>
          </xdr:cNvSpPr>
        </xdr:nvSpPr>
        <xdr:spPr bwMode="auto">
          <a:xfrm rot="-2590902">
            <a:off x="4800" y="4474"/>
            <a:ext cx="1" cy="180"/>
          </a:xfrm>
          <a:prstGeom prst="line">
            <a:avLst/>
          </a:prstGeom>
          <a:noFill/>
          <a:ln w="9525">
            <a:solidFill>
              <a:srgbClr val="000000"/>
            </a:solidFill>
            <a:round/>
            <a:headEnd/>
            <a:tailEnd/>
          </a:ln>
        </xdr:spPr>
      </xdr:sp>
      <xdr:sp macro="" textlink="">
        <xdr:nvSpPr>
          <xdr:cNvPr id="226" name="Line 800">
            <a:extLst>
              <a:ext uri="{FF2B5EF4-FFF2-40B4-BE49-F238E27FC236}">
                <a16:creationId xmlns:a16="http://schemas.microsoft.com/office/drawing/2014/main" id="{00000000-0008-0000-0000-0000E2000000}"/>
              </a:ext>
            </a:extLst>
          </xdr:cNvPr>
          <xdr:cNvSpPr>
            <a:spLocks noChangeShapeType="1"/>
          </xdr:cNvSpPr>
        </xdr:nvSpPr>
        <xdr:spPr bwMode="auto">
          <a:xfrm>
            <a:off x="4860" y="4634"/>
            <a:ext cx="1" cy="180"/>
          </a:xfrm>
          <a:prstGeom prst="line">
            <a:avLst/>
          </a:prstGeom>
          <a:noFill/>
          <a:ln w="9525">
            <a:solidFill>
              <a:srgbClr val="000000"/>
            </a:solidFill>
            <a:round/>
            <a:headEnd/>
            <a:tailEnd/>
          </a:ln>
        </xdr:spPr>
      </xdr:sp>
      <xdr:sp macro="" textlink="">
        <xdr:nvSpPr>
          <xdr:cNvPr id="227" name="Line 801">
            <a:extLst>
              <a:ext uri="{FF2B5EF4-FFF2-40B4-BE49-F238E27FC236}">
                <a16:creationId xmlns:a16="http://schemas.microsoft.com/office/drawing/2014/main" id="{00000000-0008-0000-0000-0000E3000000}"/>
              </a:ext>
            </a:extLst>
          </xdr:cNvPr>
          <xdr:cNvSpPr>
            <a:spLocks noChangeShapeType="1"/>
          </xdr:cNvSpPr>
        </xdr:nvSpPr>
        <xdr:spPr bwMode="auto">
          <a:xfrm rot="1679829">
            <a:off x="4870" y="4324"/>
            <a:ext cx="1" cy="180"/>
          </a:xfrm>
          <a:prstGeom prst="line">
            <a:avLst/>
          </a:prstGeom>
          <a:noFill/>
          <a:ln w="9525">
            <a:solidFill>
              <a:srgbClr val="000000"/>
            </a:solidFill>
            <a:round/>
            <a:headEnd/>
            <a:tailEnd/>
          </a:ln>
        </xdr:spPr>
      </xdr:sp>
      <xdr:sp macro="" textlink="">
        <xdr:nvSpPr>
          <xdr:cNvPr id="228" name="Line 802">
            <a:extLst>
              <a:ext uri="{FF2B5EF4-FFF2-40B4-BE49-F238E27FC236}">
                <a16:creationId xmlns:a16="http://schemas.microsoft.com/office/drawing/2014/main" id="{00000000-0008-0000-0000-0000E4000000}"/>
              </a:ext>
            </a:extLst>
          </xdr:cNvPr>
          <xdr:cNvSpPr>
            <a:spLocks noChangeShapeType="1"/>
          </xdr:cNvSpPr>
        </xdr:nvSpPr>
        <xdr:spPr bwMode="auto">
          <a:xfrm rot="-3720171">
            <a:off x="4850" y="4325"/>
            <a:ext cx="1" cy="180"/>
          </a:xfrm>
          <a:prstGeom prst="line">
            <a:avLst/>
          </a:prstGeom>
          <a:noFill/>
          <a:ln w="9525">
            <a:solidFill>
              <a:srgbClr val="000000"/>
            </a:solidFill>
            <a:round/>
            <a:headEnd/>
            <a:tailEnd/>
          </a:ln>
        </xdr:spPr>
      </xdr:sp>
      <xdr:sp macro="" textlink="">
        <xdr:nvSpPr>
          <xdr:cNvPr id="229" name="Line 803">
            <a:extLst>
              <a:ext uri="{FF2B5EF4-FFF2-40B4-BE49-F238E27FC236}">
                <a16:creationId xmlns:a16="http://schemas.microsoft.com/office/drawing/2014/main" id="{00000000-0008-0000-0000-0000E5000000}"/>
              </a:ext>
            </a:extLst>
          </xdr:cNvPr>
          <xdr:cNvSpPr>
            <a:spLocks noChangeShapeType="1"/>
          </xdr:cNvSpPr>
        </xdr:nvSpPr>
        <xdr:spPr bwMode="auto">
          <a:xfrm>
            <a:off x="3960" y="4844"/>
            <a:ext cx="1" cy="900"/>
          </a:xfrm>
          <a:prstGeom prst="line">
            <a:avLst/>
          </a:prstGeom>
          <a:noFill/>
          <a:ln w="9525">
            <a:solidFill>
              <a:srgbClr val="000000"/>
            </a:solidFill>
            <a:round/>
            <a:headEnd/>
            <a:tailEnd type="triangle" w="med" len="med"/>
          </a:ln>
        </xdr:spPr>
      </xdr:sp>
      <xdr:sp macro="" textlink="">
        <xdr:nvSpPr>
          <xdr:cNvPr id="230" name="Oval 804">
            <a:extLst>
              <a:ext uri="{FF2B5EF4-FFF2-40B4-BE49-F238E27FC236}">
                <a16:creationId xmlns:a16="http://schemas.microsoft.com/office/drawing/2014/main" id="{00000000-0008-0000-0000-0000E6000000}"/>
              </a:ext>
            </a:extLst>
          </xdr:cNvPr>
          <xdr:cNvSpPr>
            <a:spLocks noChangeArrowheads="1"/>
          </xdr:cNvSpPr>
        </xdr:nvSpPr>
        <xdr:spPr bwMode="auto">
          <a:xfrm>
            <a:off x="3870" y="5204"/>
            <a:ext cx="180" cy="180"/>
          </a:xfrm>
          <a:prstGeom prst="ellipse">
            <a:avLst/>
          </a:prstGeom>
          <a:noFill/>
          <a:ln w="9525">
            <a:solidFill>
              <a:srgbClr val="000000"/>
            </a:solidFill>
            <a:round/>
            <a:headEnd/>
            <a:tailEnd/>
          </a:ln>
        </xdr:spPr>
      </xdr:sp>
      <xdr:sp macro="" textlink="">
        <xdr:nvSpPr>
          <xdr:cNvPr id="231" name="Text Box 805">
            <a:extLst>
              <a:ext uri="{FF2B5EF4-FFF2-40B4-BE49-F238E27FC236}">
                <a16:creationId xmlns:a16="http://schemas.microsoft.com/office/drawing/2014/main" id="{00000000-0008-0000-0000-0000E7000000}"/>
              </a:ext>
            </a:extLst>
          </xdr:cNvPr>
          <xdr:cNvSpPr txBox="1">
            <a:spLocks noChangeArrowheads="1"/>
          </xdr:cNvSpPr>
        </xdr:nvSpPr>
        <xdr:spPr bwMode="auto">
          <a:xfrm>
            <a:off x="3959" y="3016"/>
            <a:ext cx="537" cy="355"/>
          </a:xfrm>
          <a:prstGeom prst="rect">
            <a:avLst/>
          </a:prstGeom>
          <a:noFill/>
          <a:ln w="9525">
            <a:noFill/>
            <a:miter lim="800000"/>
            <a:headEnd/>
            <a:tailEnd/>
          </a:ln>
        </xdr:spPr>
        <xdr:txBody>
          <a:bodyPr vertOverflow="clip" wrap="square" lIns="91440" tIns="45720" rIns="91440" bIns="45720" anchor="t" upright="1"/>
          <a:lstStyle/>
          <a:p>
            <a:pPr algn="l" rtl="0">
              <a:defRPr sz="1000"/>
            </a:pPr>
            <a:r>
              <a:rPr lang="en-US" sz="1000" b="0" i="0" u="none" strike="noStrike" baseline="0">
                <a:solidFill>
                  <a:srgbClr val="000000"/>
                </a:solidFill>
                <a:latin typeface="Times New Roman"/>
                <a:cs typeface="Times New Roman"/>
              </a:rPr>
              <a:t>A</a:t>
            </a:r>
          </a:p>
          <a:p>
            <a:pPr algn="l" rtl="0">
              <a:defRPr sz="1000"/>
            </a:pPr>
            <a:endParaRPr lang="en-US" sz="1000" b="0" i="0" u="none" strike="noStrike" baseline="0">
              <a:solidFill>
                <a:srgbClr val="000000"/>
              </a:solidFill>
              <a:latin typeface="Times New Roman"/>
              <a:cs typeface="Times New Roman"/>
            </a:endParaRPr>
          </a:p>
        </xdr:txBody>
      </xdr:sp>
      <xdr:sp macro="" textlink="">
        <xdr:nvSpPr>
          <xdr:cNvPr id="232" name="Text Box 806">
            <a:extLst>
              <a:ext uri="{FF2B5EF4-FFF2-40B4-BE49-F238E27FC236}">
                <a16:creationId xmlns:a16="http://schemas.microsoft.com/office/drawing/2014/main" id="{00000000-0008-0000-0000-0000E8000000}"/>
              </a:ext>
            </a:extLst>
          </xdr:cNvPr>
          <xdr:cNvSpPr txBox="1">
            <a:spLocks noChangeArrowheads="1"/>
          </xdr:cNvSpPr>
        </xdr:nvSpPr>
        <xdr:spPr bwMode="auto">
          <a:xfrm>
            <a:off x="4864" y="4353"/>
            <a:ext cx="537" cy="355"/>
          </a:xfrm>
          <a:prstGeom prst="rect">
            <a:avLst/>
          </a:prstGeom>
          <a:noFill/>
          <a:ln w="9525">
            <a:noFill/>
            <a:miter lim="800000"/>
            <a:headEnd/>
            <a:tailEnd/>
          </a:ln>
        </xdr:spPr>
        <xdr:txBody>
          <a:bodyPr vertOverflow="clip" wrap="square" lIns="91440" tIns="45720" rIns="91440" bIns="45720" anchor="t" upright="1"/>
          <a:lstStyle/>
          <a:p>
            <a:pPr algn="l" rtl="0">
              <a:defRPr sz="1000"/>
            </a:pPr>
            <a:r>
              <a:rPr lang="en-US" sz="1000" b="0" i="0" u="none" strike="noStrike" baseline="0">
                <a:solidFill>
                  <a:srgbClr val="000000"/>
                </a:solidFill>
                <a:latin typeface="Times New Roman"/>
                <a:cs typeface="Times New Roman"/>
              </a:rPr>
              <a:t>B</a:t>
            </a:r>
          </a:p>
          <a:p>
            <a:pPr algn="l" rtl="0">
              <a:defRPr sz="1000"/>
            </a:pPr>
            <a:endParaRPr lang="en-US" sz="1000" b="0" i="0" u="none" strike="noStrike" baseline="0">
              <a:solidFill>
                <a:srgbClr val="000000"/>
              </a:solidFill>
              <a:latin typeface="Times New Roman"/>
              <a:cs typeface="Times New Roman"/>
            </a:endParaRPr>
          </a:p>
        </xdr:txBody>
      </xdr:sp>
      <xdr:sp macro="" textlink="">
        <xdr:nvSpPr>
          <xdr:cNvPr id="233" name="Text Box 807">
            <a:extLst>
              <a:ext uri="{FF2B5EF4-FFF2-40B4-BE49-F238E27FC236}">
                <a16:creationId xmlns:a16="http://schemas.microsoft.com/office/drawing/2014/main" id="{00000000-0008-0000-0000-0000E9000000}"/>
              </a:ext>
            </a:extLst>
          </xdr:cNvPr>
          <xdr:cNvSpPr txBox="1">
            <a:spLocks noChangeArrowheads="1"/>
          </xdr:cNvSpPr>
        </xdr:nvSpPr>
        <xdr:spPr bwMode="auto">
          <a:xfrm>
            <a:off x="3943" y="5251"/>
            <a:ext cx="537" cy="355"/>
          </a:xfrm>
          <a:prstGeom prst="rect">
            <a:avLst/>
          </a:prstGeom>
          <a:noFill/>
          <a:ln w="9525">
            <a:noFill/>
            <a:miter lim="800000"/>
            <a:headEnd/>
            <a:tailEnd/>
          </a:ln>
        </xdr:spPr>
        <xdr:txBody>
          <a:bodyPr vertOverflow="clip" wrap="square" lIns="91440" tIns="45720" rIns="91440" bIns="45720" anchor="t" upright="1"/>
          <a:lstStyle/>
          <a:p>
            <a:pPr algn="l" rtl="0">
              <a:defRPr sz="1000"/>
            </a:pPr>
            <a:r>
              <a:rPr lang="en-US" sz="1000" b="0" i="0" u="none" strike="noStrike" baseline="0">
                <a:solidFill>
                  <a:srgbClr val="000000"/>
                </a:solidFill>
                <a:latin typeface="Times New Roman"/>
                <a:cs typeface="Times New Roman"/>
              </a:rPr>
              <a:t>CA</a:t>
            </a:r>
          </a:p>
          <a:p>
            <a:pPr algn="l" rtl="0">
              <a:defRPr sz="1000"/>
            </a:pPr>
            <a:endParaRPr lang="en-US" sz="1000" b="0" i="0" u="none" strike="noStrike" baseline="0">
              <a:solidFill>
                <a:srgbClr val="000000"/>
              </a:solidFill>
              <a:latin typeface="Times New Roman"/>
              <a:cs typeface="Times New Roman"/>
            </a:endParaRPr>
          </a:p>
        </xdr:txBody>
      </xdr:sp>
      <xdr:sp macro="" textlink="">
        <xdr:nvSpPr>
          <xdr:cNvPr id="234" name="Text Box 808">
            <a:extLst>
              <a:ext uri="{FF2B5EF4-FFF2-40B4-BE49-F238E27FC236}">
                <a16:creationId xmlns:a16="http://schemas.microsoft.com/office/drawing/2014/main" id="{00000000-0008-0000-0000-0000EA000000}"/>
              </a:ext>
            </a:extLst>
          </xdr:cNvPr>
          <xdr:cNvSpPr txBox="1">
            <a:spLocks noChangeArrowheads="1"/>
          </xdr:cNvSpPr>
        </xdr:nvSpPr>
        <xdr:spPr bwMode="auto">
          <a:xfrm>
            <a:off x="2792" y="3204"/>
            <a:ext cx="537" cy="376"/>
          </a:xfrm>
          <a:prstGeom prst="rect">
            <a:avLst/>
          </a:prstGeom>
          <a:noFill/>
          <a:ln w="9525">
            <a:noFill/>
            <a:miter lim="800000"/>
            <a:headEnd/>
            <a:tailEnd/>
          </a:ln>
        </xdr:spPr>
        <xdr:txBody>
          <a:bodyPr vertOverflow="clip" wrap="square" lIns="91440" tIns="45720" rIns="91440" bIns="45720" anchor="t" upright="1"/>
          <a:lstStyle/>
          <a:p>
            <a:pPr algn="l" rtl="0">
              <a:defRPr sz="1000"/>
            </a:pPr>
            <a:r>
              <a:rPr lang="en-US" sz="1000" b="0" i="0" u="none" strike="noStrike" baseline="0">
                <a:solidFill>
                  <a:srgbClr val="000000"/>
                </a:solidFill>
                <a:latin typeface="Times New Roman"/>
                <a:cs typeface="Times New Roman"/>
              </a:rPr>
              <a:t>1</a:t>
            </a:r>
          </a:p>
          <a:p>
            <a:pPr algn="l" rtl="0">
              <a:defRPr sz="1000"/>
            </a:pPr>
            <a:endParaRPr lang="en-US" sz="1000" b="0" i="0" u="none" strike="noStrike" baseline="0">
              <a:solidFill>
                <a:srgbClr val="000000"/>
              </a:solidFill>
              <a:latin typeface="Times New Roman"/>
              <a:cs typeface="Times New Roman"/>
            </a:endParaRPr>
          </a:p>
        </xdr:txBody>
      </xdr:sp>
      <xdr:sp macro="" textlink="">
        <xdr:nvSpPr>
          <xdr:cNvPr id="235" name="Text Box 809">
            <a:extLst>
              <a:ext uri="{FF2B5EF4-FFF2-40B4-BE49-F238E27FC236}">
                <a16:creationId xmlns:a16="http://schemas.microsoft.com/office/drawing/2014/main" id="{00000000-0008-0000-0000-0000EB000000}"/>
              </a:ext>
            </a:extLst>
          </xdr:cNvPr>
          <xdr:cNvSpPr txBox="1">
            <a:spLocks noChangeArrowheads="1"/>
          </xdr:cNvSpPr>
        </xdr:nvSpPr>
        <xdr:spPr bwMode="auto">
          <a:xfrm>
            <a:off x="5617" y="5084"/>
            <a:ext cx="537" cy="355"/>
          </a:xfrm>
          <a:prstGeom prst="rect">
            <a:avLst/>
          </a:prstGeom>
          <a:noFill/>
          <a:ln w="9525">
            <a:noFill/>
            <a:miter lim="800000"/>
            <a:headEnd/>
            <a:tailEnd/>
          </a:ln>
        </xdr:spPr>
        <xdr:txBody>
          <a:bodyPr vertOverflow="clip" wrap="square" lIns="91440" tIns="45720" rIns="91440" bIns="45720" anchor="t" upright="1"/>
          <a:lstStyle/>
          <a:p>
            <a:pPr algn="l" rtl="0">
              <a:defRPr sz="1000"/>
            </a:pPr>
            <a:r>
              <a:rPr lang="en-US" sz="1000" b="0" i="0" u="none" strike="noStrike" baseline="0">
                <a:solidFill>
                  <a:srgbClr val="000000"/>
                </a:solidFill>
                <a:latin typeface="Times New Roman"/>
                <a:cs typeface="Times New Roman"/>
              </a:rPr>
              <a:t>2</a:t>
            </a:r>
          </a:p>
          <a:p>
            <a:pPr algn="l" rtl="0">
              <a:defRPr sz="1000"/>
            </a:pPr>
            <a:endParaRPr lang="en-US" sz="1000" b="0" i="0" u="none" strike="noStrike" baseline="0">
              <a:solidFill>
                <a:srgbClr val="000000"/>
              </a:solidFill>
              <a:latin typeface="Times New Roman"/>
              <a:cs typeface="Times New Roman"/>
            </a:endParaRPr>
          </a:p>
        </xdr:txBody>
      </xdr:sp>
      <xdr:sp macro="" textlink="">
        <xdr:nvSpPr>
          <xdr:cNvPr id="236" name="Text Box 810">
            <a:extLst>
              <a:ext uri="{FF2B5EF4-FFF2-40B4-BE49-F238E27FC236}">
                <a16:creationId xmlns:a16="http://schemas.microsoft.com/office/drawing/2014/main" id="{00000000-0008-0000-0000-0000EC000000}"/>
              </a:ext>
            </a:extLst>
          </xdr:cNvPr>
          <xdr:cNvSpPr txBox="1">
            <a:spLocks noChangeArrowheads="1"/>
          </xdr:cNvSpPr>
        </xdr:nvSpPr>
        <xdr:spPr bwMode="auto">
          <a:xfrm>
            <a:off x="2807" y="4854"/>
            <a:ext cx="537" cy="376"/>
          </a:xfrm>
          <a:prstGeom prst="rect">
            <a:avLst/>
          </a:prstGeom>
          <a:noFill/>
          <a:ln w="9525">
            <a:noFill/>
            <a:miter lim="800000"/>
            <a:headEnd/>
            <a:tailEnd/>
          </a:ln>
        </xdr:spPr>
        <xdr:txBody>
          <a:bodyPr vertOverflow="clip" wrap="square" lIns="91440" tIns="45720" rIns="91440" bIns="45720" anchor="t" upright="1"/>
          <a:lstStyle/>
          <a:p>
            <a:pPr algn="l" rtl="0">
              <a:defRPr sz="1000"/>
            </a:pPr>
            <a:r>
              <a:rPr lang="en-US" sz="1000" b="0" i="0" u="none" strike="noStrike" baseline="0">
                <a:solidFill>
                  <a:srgbClr val="000000"/>
                </a:solidFill>
                <a:latin typeface="Times New Roman"/>
                <a:cs typeface="Times New Roman"/>
              </a:rPr>
              <a:t>3</a:t>
            </a:r>
          </a:p>
          <a:p>
            <a:pPr algn="l" rtl="0">
              <a:defRPr sz="1000"/>
            </a:pPr>
            <a:endParaRPr lang="en-US" sz="1000" b="0" i="0" u="none" strike="noStrike" baseline="0">
              <a:solidFill>
                <a:srgbClr val="000000"/>
              </a:solidFill>
              <a:latin typeface="Times New Roman"/>
              <a:cs typeface="Times New Roman"/>
            </a:endParaRPr>
          </a:p>
        </xdr:txBody>
      </xdr:sp>
      <xdr:sp macro="" textlink="">
        <xdr:nvSpPr>
          <xdr:cNvPr id="237" name="Text Box 811">
            <a:extLst>
              <a:ext uri="{FF2B5EF4-FFF2-40B4-BE49-F238E27FC236}">
                <a16:creationId xmlns:a16="http://schemas.microsoft.com/office/drawing/2014/main" id="{00000000-0008-0000-0000-0000ED000000}"/>
              </a:ext>
            </a:extLst>
          </xdr:cNvPr>
          <xdr:cNvSpPr txBox="1">
            <a:spLocks noChangeArrowheads="1"/>
          </xdr:cNvSpPr>
        </xdr:nvSpPr>
        <xdr:spPr bwMode="auto">
          <a:xfrm>
            <a:off x="5663" y="2975"/>
            <a:ext cx="537" cy="355"/>
          </a:xfrm>
          <a:prstGeom prst="rect">
            <a:avLst/>
          </a:prstGeom>
          <a:noFill/>
          <a:ln w="9525">
            <a:noFill/>
            <a:miter lim="800000"/>
            <a:headEnd/>
            <a:tailEnd/>
          </a:ln>
        </xdr:spPr>
        <xdr:txBody>
          <a:bodyPr vertOverflow="clip" wrap="square" lIns="91440" tIns="45720" rIns="91440" bIns="45720" anchor="t" upright="1"/>
          <a:lstStyle/>
          <a:p>
            <a:pPr algn="l" rtl="0">
              <a:defRPr sz="1000"/>
            </a:pPr>
            <a:r>
              <a:rPr lang="en-US" sz="1000" b="0" i="0" u="none" strike="noStrike" baseline="0">
                <a:solidFill>
                  <a:srgbClr val="000000"/>
                </a:solidFill>
                <a:latin typeface="Times New Roman"/>
                <a:cs typeface="Times New Roman"/>
              </a:rPr>
              <a:t>4</a:t>
            </a:r>
          </a:p>
          <a:p>
            <a:pPr algn="l" rtl="0">
              <a:defRPr sz="1000"/>
            </a:pPr>
            <a:endParaRPr lang="en-US" sz="1000" b="0" i="0" u="none" strike="noStrike" baseline="0">
              <a:solidFill>
                <a:srgbClr val="000000"/>
              </a:solidFill>
              <a:latin typeface="Times New Roman"/>
              <a:cs typeface="Times New Roman"/>
            </a:endParaRPr>
          </a:p>
        </xdr:txBody>
      </xdr:sp>
      <xdr:sp macro="" textlink="">
        <xdr:nvSpPr>
          <xdr:cNvPr id="238" name="Line 812">
            <a:extLst>
              <a:ext uri="{FF2B5EF4-FFF2-40B4-BE49-F238E27FC236}">
                <a16:creationId xmlns:a16="http://schemas.microsoft.com/office/drawing/2014/main" id="{00000000-0008-0000-0000-0000EE000000}"/>
              </a:ext>
            </a:extLst>
          </xdr:cNvPr>
          <xdr:cNvSpPr>
            <a:spLocks noChangeShapeType="1"/>
          </xdr:cNvSpPr>
        </xdr:nvSpPr>
        <xdr:spPr bwMode="auto">
          <a:xfrm>
            <a:off x="4320" y="3864"/>
            <a:ext cx="1080" cy="1"/>
          </a:xfrm>
          <a:prstGeom prst="line">
            <a:avLst/>
          </a:prstGeom>
          <a:noFill/>
          <a:ln w="9525">
            <a:solidFill>
              <a:srgbClr val="000000"/>
            </a:solidFill>
            <a:round/>
            <a:headEnd/>
            <a:tailEnd/>
          </a:ln>
        </xdr:spPr>
      </xdr:sp>
      <xdr:sp macro="" textlink="">
        <xdr:nvSpPr>
          <xdr:cNvPr id="239" name="Line 813">
            <a:extLst>
              <a:ext uri="{FF2B5EF4-FFF2-40B4-BE49-F238E27FC236}">
                <a16:creationId xmlns:a16="http://schemas.microsoft.com/office/drawing/2014/main" id="{00000000-0008-0000-0000-0000EF000000}"/>
              </a:ext>
            </a:extLst>
          </xdr:cNvPr>
          <xdr:cNvSpPr>
            <a:spLocks noChangeShapeType="1"/>
          </xdr:cNvSpPr>
        </xdr:nvSpPr>
        <xdr:spPr bwMode="auto">
          <a:xfrm flipV="1">
            <a:off x="5400" y="3194"/>
            <a:ext cx="360" cy="180"/>
          </a:xfrm>
          <a:prstGeom prst="line">
            <a:avLst/>
          </a:prstGeom>
          <a:noFill/>
          <a:ln w="9525">
            <a:solidFill>
              <a:srgbClr val="000000"/>
            </a:solidFill>
            <a:round/>
            <a:headEnd/>
            <a:tailEnd/>
          </a:ln>
        </xdr:spPr>
      </xdr:sp>
      <xdr:sp macro="" textlink="">
        <xdr:nvSpPr>
          <xdr:cNvPr id="240" name="Line 814">
            <a:extLst>
              <a:ext uri="{FF2B5EF4-FFF2-40B4-BE49-F238E27FC236}">
                <a16:creationId xmlns:a16="http://schemas.microsoft.com/office/drawing/2014/main" id="{00000000-0008-0000-0000-0000F0000000}"/>
              </a:ext>
            </a:extLst>
          </xdr:cNvPr>
          <xdr:cNvSpPr>
            <a:spLocks noChangeShapeType="1"/>
          </xdr:cNvSpPr>
        </xdr:nvSpPr>
        <xdr:spPr bwMode="auto">
          <a:xfrm>
            <a:off x="5400" y="5014"/>
            <a:ext cx="300" cy="230"/>
          </a:xfrm>
          <a:prstGeom prst="line">
            <a:avLst/>
          </a:prstGeom>
          <a:noFill/>
          <a:ln w="9525">
            <a:solidFill>
              <a:srgbClr val="000000"/>
            </a:solidFill>
            <a:round/>
            <a:headEnd/>
            <a:tailEnd/>
          </a:ln>
        </xdr:spPr>
      </xdr:sp>
      <xdr:sp macro="" textlink="">
        <xdr:nvSpPr>
          <xdr:cNvPr id="241" name="Line 815">
            <a:extLst>
              <a:ext uri="{FF2B5EF4-FFF2-40B4-BE49-F238E27FC236}">
                <a16:creationId xmlns:a16="http://schemas.microsoft.com/office/drawing/2014/main" id="{00000000-0008-0000-0000-0000F1000000}"/>
              </a:ext>
            </a:extLst>
          </xdr:cNvPr>
          <xdr:cNvSpPr>
            <a:spLocks noChangeShapeType="1"/>
          </xdr:cNvSpPr>
        </xdr:nvSpPr>
        <xdr:spPr bwMode="auto">
          <a:xfrm rot="5400000" flipV="1">
            <a:off x="3095" y="3409"/>
            <a:ext cx="290" cy="360"/>
          </a:xfrm>
          <a:prstGeom prst="line">
            <a:avLst/>
          </a:prstGeom>
          <a:noFill/>
          <a:ln w="9525">
            <a:solidFill>
              <a:srgbClr val="000000"/>
            </a:solidFill>
            <a:round/>
            <a:headEnd/>
            <a:tailEnd/>
          </a:ln>
        </xdr:spPr>
      </xdr:sp>
      <xdr:sp macro="" textlink="">
        <xdr:nvSpPr>
          <xdr:cNvPr id="242" name="Line 816">
            <a:extLst>
              <a:ext uri="{FF2B5EF4-FFF2-40B4-BE49-F238E27FC236}">
                <a16:creationId xmlns:a16="http://schemas.microsoft.com/office/drawing/2014/main" id="{00000000-0008-0000-0000-0000F2000000}"/>
              </a:ext>
            </a:extLst>
          </xdr:cNvPr>
          <xdr:cNvSpPr>
            <a:spLocks noChangeShapeType="1"/>
          </xdr:cNvSpPr>
        </xdr:nvSpPr>
        <xdr:spPr bwMode="auto">
          <a:xfrm rot="5400000" flipV="1">
            <a:off x="3105" y="5059"/>
            <a:ext cx="290" cy="360"/>
          </a:xfrm>
          <a:prstGeom prst="line">
            <a:avLst/>
          </a:prstGeom>
          <a:noFill/>
          <a:ln w="9525">
            <a:solidFill>
              <a:srgbClr val="000000"/>
            </a:solidFill>
            <a:round/>
            <a:headEnd/>
            <a:tailEnd/>
          </a:ln>
        </xdr:spPr>
      </xdr:sp>
      <xdr:sp macro="" textlink="">
        <xdr:nvSpPr>
          <xdr:cNvPr id="243" name="Line 817">
            <a:extLst>
              <a:ext uri="{FF2B5EF4-FFF2-40B4-BE49-F238E27FC236}">
                <a16:creationId xmlns:a16="http://schemas.microsoft.com/office/drawing/2014/main" id="{00000000-0008-0000-0000-0000F3000000}"/>
              </a:ext>
            </a:extLst>
          </xdr:cNvPr>
          <xdr:cNvSpPr>
            <a:spLocks noChangeShapeType="1"/>
          </xdr:cNvSpPr>
        </xdr:nvSpPr>
        <xdr:spPr bwMode="auto">
          <a:xfrm>
            <a:off x="4330" y="2904"/>
            <a:ext cx="1" cy="3060"/>
          </a:xfrm>
          <a:prstGeom prst="line">
            <a:avLst/>
          </a:prstGeom>
          <a:noFill/>
          <a:ln w="9525">
            <a:solidFill>
              <a:srgbClr val="000000"/>
            </a:solidFill>
            <a:round/>
            <a:headEnd/>
            <a:tailEnd/>
          </a:ln>
        </xdr:spPr>
      </xdr:sp>
    </xdr:grpSp>
    <xdr:clientData/>
  </xdr:twoCellAnchor>
  <xdr:twoCellAnchor>
    <xdr:from>
      <xdr:col>1</xdr:col>
      <xdr:colOff>295275</xdr:colOff>
      <xdr:row>42</xdr:row>
      <xdr:rowOff>19050</xdr:rowOff>
    </xdr:from>
    <xdr:to>
      <xdr:col>1</xdr:col>
      <xdr:colOff>2286000</xdr:colOff>
      <xdr:row>42</xdr:row>
      <xdr:rowOff>1983317</xdr:rowOff>
    </xdr:to>
    <xdr:grpSp>
      <xdr:nvGrpSpPr>
        <xdr:cNvPr id="244" name="Group 783">
          <a:extLst>
            <a:ext uri="{FF2B5EF4-FFF2-40B4-BE49-F238E27FC236}">
              <a16:creationId xmlns:a16="http://schemas.microsoft.com/office/drawing/2014/main" id="{00000000-0008-0000-0000-0000F4000000}"/>
            </a:ext>
          </a:extLst>
        </xdr:cNvPr>
        <xdr:cNvGrpSpPr>
          <a:grpSpLocks noChangeAspect="1"/>
        </xdr:cNvGrpSpPr>
      </xdr:nvGrpSpPr>
      <xdr:grpSpPr bwMode="auto">
        <a:xfrm>
          <a:off x="825954" y="26865943"/>
          <a:ext cx="1990725" cy="1964267"/>
          <a:chOff x="2700" y="2724"/>
          <a:chExt cx="3500" cy="3780"/>
        </a:xfrm>
      </xdr:grpSpPr>
      <xdr:sp macro="" textlink="">
        <xdr:nvSpPr>
          <xdr:cNvPr id="245" name="AutoShape 784">
            <a:extLst>
              <a:ext uri="{FF2B5EF4-FFF2-40B4-BE49-F238E27FC236}">
                <a16:creationId xmlns:a16="http://schemas.microsoft.com/office/drawing/2014/main" id="{00000000-0008-0000-0000-0000F5000000}"/>
              </a:ext>
            </a:extLst>
          </xdr:cNvPr>
          <xdr:cNvSpPr>
            <a:spLocks noChangeAspect="1" noChangeArrowheads="1"/>
          </xdr:cNvSpPr>
        </xdr:nvSpPr>
        <xdr:spPr bwMode="auto">
          <a:xfrm>
            <a:off x="2700" y="2724"/>
            <a:ext cx="3500" cy="3780"/>
          </a:xfrm>
          <a:prstGeom prst="rect">
            <a:avLst/>
          </a:prstGeom>
          <a:noFill/>
          <a:ln w="9525">
            <a:noFill/>
            <a:miter lim="800000"/>
            <a:headEnd/>
            <a:tailEnd/>
          </a:ln>
        </xdr:spPr>
      </xdr:sp>
      <xdr:sp macro="" textlink="">
        <xdr:nvSpPr>
          <xdr:cNvPr id="246" name="Rectangle 785">
            <a:extLst>
              <a:ext uri="{FF2B5EF4-FFF2-40B4-BE49-F238E27FC236}">
                <a16:creationId xmlns:a16="http://schemas.microsoft.com/office/drawing/2014/main" id="{00000000-0008-0000-0000-0000F6000000}"/>
              </a:ext>
            </a:extLst>
          </xdr:cNvPr>
          <xdr:cNvSpPr>
            <a:spLocks noChangeArrowheads="1"/>
          </xdr:cNvSpPr>
        </xdr:nvSpPr>
        <xdr:spPr bwMode="auto">
          <a:xfrm>
            <a:off x="3420" y="2904"/>
            <a:ext cx="1980" cy="3060"/>
          </a:xfrm>
          <a:prstGeom prst="rect">
            <a:avLst/>
          </a:prstGeom>
          <a:solidFill>
            <a:srgbClr val="FFFFFF"/>
          </a:solidFill>
          <a:ln w="9525">
            <a:solidFill>
              <a:srgbClr val="000000"/>
            </a:solidFill>
            <a:miter lim="800000"/>
            <a:headEnd/>
            <a:tailEnd/>
          </a:ln>
        </xdr:spPr>
      </xdr:sp>
      <xdr:sp macro="" textlink="">
        <xdr:nvSpPr>
          <xdr:cNvPr id="247" name="Line 786">
            <a:extLst>
              <a:ext uri="{FF2B5EF4-FFF2-40B4-BE49-F238E27FC236}">
                <a16:creationId xmlns:a16="http://schemas.microsoft.com/office/drawing/2014/main" id="{00000000-0008-0000-0000-0000F7000000}"/>
              </a:ext>
            </a:extLst>
          </xdr:cNvPr>
          <xdr:cNvSpPr>
            <a:spLocks noChangeShapeType="1"/>
          </xdr:cNvSpPr>
        </xdr:nvSpPr>
        <xdr:spPr bwMode="auto">
          <a:xfrm>
            <a:off x="3780" y="3264"/>
            <a:ext cx="0" cy="180"/>
          </a:xfrm>
          <a:prstGeom prst="line">
            <a:avLst/>
          </a:prstGeom>
          <a:noFill/>
          <a:ln w="9525">
            <a:solidFill>
              <a:srgbClr val="000000"/>
            </a:solidFill>
            <a:round/>
            <a:headEnd/>
            <a:tailEnd/>
          </a:ln>
        </xdr:spPr>
      </xdr:sp>
      <xdr:sp macro="" textlink="">
        <xdr:nvSpPr>
          <xdr:cNvPr id="248" name="Line 787">
            <a:extLst>
              <a:ext uri="{FF2B5EF4-FFF2-40B4-BE49-F238E27FC236}">
                <a16:creationId xmlns:a16="http://schemas.microsoft.com/office/drawing/2014/main" id="{00000000-0008-0000-0000-0000F8000000}"/>
              </a:ext>
            </a:extLst>
          </xdr:cNvPr>
          <xdr:cNvSpPr>
            <a:spLocks noChangeShapeType="1"/>
          </xdr:cNvSpPr>
        </xdr:nvSpPr>
        <xdr:spPr bwMode="auto">
          <a:xfrm>
            <a:off x="3780" y="3944"/>
            <a:ext cx="1" cy="180"/>
          </a:xfrm>
          <a:prstGeom prst="line">
            <a:avLst/>
          </a:prstGeom>
          <a:noFill/>
          <a:ln w="9525">
            <a:solidFill>
              <a:srgbClr val="000000"/>
            </a:solidFill>
            <a:round/>
            <a:headEnd/>
            <a:tailEnd/>
          </a:ln>
        </xdr:spPr>
      </xdr:sp>
      <xdr:sp macro="" textlink="">
        <xdr:nvSpPr>
          <xdr:cNvPr id="249" name="Line 788">
            <a:extLst>
              <a:ext uri="{FF2B5EF4-FFF2-40B4-BE49-F238E27FC236}">
                <a16:creationId xmlns:a16="http://schemas.microsoft.com/office/drawing/2014/main" id="{00000000-0008-0000-0000-0000F9000000}"/>
              </a:ext>
            </a:extLst>
          </xdr:cNvPr>
          <xdr:cNvSpPr>
            <a:spLocks noChangeShapeType="1"/>
          </xdr:cNvSpPr>
        </xdr:nvSpPr>
        <xdr:spPr bwMode="auto">
          <a:xfrm>
            <a:off x="3780" y="3614"/>
            <a:ext cx="1" cy="180"/>
          </a:xfrm>
          <a:prstGeom prst="line">
            <a:avLst/>
          </a:prstGeom>
          <a:noFill/>
          <a:ln w="9525">
            <a:solidFill>
              <a:srgbClr val="000000"/>
            </a:solidFill>
            <a:round/>
            <a:headEnd/>
            <a:tailEnd/>
          </a:ln>
        </xdr:spPr>
      </xdr:sp>
      <xdr:sp macro="" textlink="">
        <xdr:nvSpPr>
          <xdr:cNvPr id="250" name="Line 789">
            <a:extLst>
              <a:ext uri="{FF2B5EF4-FFF2-40B4-BE49-F238E27FC236}">
                <a16:creationId xmlns:a16="http://schemas.microsoft.com/office/drawing/2014/main" id="{00000000-0008-0000-0000-0000FA000000}"/>
              </a:ext>
            </a:extLst>
          </xdr:cNvPr>
          <xdr:cNvSpPr>
            <a:spLocks noChangeShapeType="1"/>
          </xdr:cNvSpPr>
        </xdr:nvSpPr>
        <xdr:spPr bwMode="auto">
          <a:xfrm rot="-5400000">
            <a:off x="3869" y="3625"/>
            <a:ext cx="1" cy="180"/>
          </a:xfrm>
          <a:prstGeom prst="line">
            <a:avLst/>
          </a:prstGeom>
          <a:noFill/>
          <a:ln w="9525">
            <a:solidFill>
              <a:srgbClr val="000000"/>
            </a:solidFill>
            <a:round/>
            <a:headEnd/>
            <a:tailEnd/>
          </a:ln>
        </xdr:spPr>
      </xdr:sp>
      <xdr:sp macro="" textlink="">
        <xdr:nvSpPr>
          <xdr:cNvPr id="251" name="Line 790">
            <a:extLst>
              <a:ext uri="{FF2B5EF4-FFF2-40B4-BE49-F238E27FC236}">
                <a16:creationId xmlns:a16="http://schemas.microsoft.com/office/drawing/2014/main" id="{00000000-0008-0000-0000-0000FB000000}"/>
              </a:ext>
            </a:extLst>
          </xdr:cNvPr>
          <xdr:cNvSpPr>
            <a:spLocks noChangeShapeType="1"/>
          </xdr:cNvSpPr>
        </xdr:nvSpPr>
        <xdr:spPr bwMode="auto">
          <a:xfrm rot="-5400000">
            <a:off x="3869" y="3945"/>
            <a:ext cx="1" cy="180"/>
          </a:xfrm>
          <a:prstGeom prst="line">
            <a:avLst/>
          </a:prstGeom>
          <a:noFill/>
          <a:ln w="9525">
            <a:solidFill>
              <a:srgbClr val="000000"/>
            </a:solidFill>
            <a:round/>
            <a:headEnd/>
            <a:tailEnd/>
          </a:ln>
        </xdr:spPr>
      </xdr:sp>
      <xdr:sp macro="" textlink="">
        <xdr:nvSpPr>
          <xdr:cNvPr id="252" name="Line 791">
            <a:extLst>
              <a:ext uri="{FF2B5EF4-FFF2-40B4-BE49-F238E27FC236}">
                <a16:creationId xmlns:a16="http://schemas.microsoft.com/office/drawing/2014/main" id="{00000000-0008-0000-0000-0000FC000000}"/>
              </a:ext>
            </a:extLst>
          </xdr:cNvPr>
          <xdr:cNvSpPr>
            <a:spLocks noChangeShapeType="1"/>
          </xdr:cNvSpPr>
        </xdr:nvSpPr>
        <xdr:spPr bwMode="auto">
          <a:xfrm rot="-5400000">
            <a:off x="3869" y="3255"/>
            <a:ext cx="1" cy="180"/>
          </a:xfrm>
          <a:prstGeom prst="line">
            <a:avLst/>
          </a:prstGeom>
          <a:noFill/>
          <a:ln w="9525">
            <a:solidFill>
              <a:srgbClr val="000000"/>
            </a:solidFill>
            <a:round/>
            <a:headEnd/>
            <a:tailEnd/>
          </a:ln>
        </xdr:spPr>
      </xdr:sp>
      <xdr:sp macro="" textlink="">
        <xdr:nvSpPr>
          <xdr:cNvPr id="253" name="Line 792">
            <a:extLst>
              <a:ext uri="{FF2B5EF4-FFF2-40B4-BE49-F238E27FC236}">
                <a16:creationId xmlns:a16="http://schemas.microsoft.com/office/drawing/2014/main" id="{00000000-0008-0000-0000-0000FD000000}"/>
              </a:ext>
            </a:extLst>
          </xdr:cNvPr>
          <xdr:cNvSpPr>
            <a:spLocks noChangeShapeType="1"/>
          </xdr:cNvSpPr>
        </xdr:nvSpPr>
        <xdr:spPr bwMode="auto">
          <a:xfrm>
            <a:off x="3980" y="3334"/>
            <a:ext cx="1" cy="900"/>
          </a:xfrm>
          <a:prstGeom prst="line">
            <a:avLst/>
          </a:prstGeom>
          <a:noFill/>
          <a:ln w="9525">
            <a:solidFill>
              <a:srgbClr val="000000"/>
            </a:solidFill>
            <a:round/>
            <a:headEnd/>
            <a:tailEnd/>
          </a:ln>
        </xdr:spPr>
      </xdr:sp>
      <xdr:sp macro="" textlink="">
        <xdr:nvSpPr>
          <xdr:cNvPr id="254" name="Line 793">
            <a:extLst>
              <a:ext uri="{FF2B5EF4-FFF2-40B4-BE49-F238E27FC236}">
                <a16:creationId xmlns:a16="http://schemas.microsoft.com/office/drawing/2014/main" id="{00000000-0008-0000-0000-0000FE000000}"/>
              </a:ext>
            </a:extLst>
          </xdr:cNvPr>
          <xdr:cNvSpPr>
            <a:spLocks noChangeShapeType="1"/>
          </xdr:cNvSpPr>
        </xdr:nvSpPr>
        <xdr:spPr bwMode="auto">
          <a:xfrm>
            <a:off x="3970" y="4834"/>
            <a:ext cx="360" cy="1"/>
          </a:xfrm>
          <a:prstGeom prst="line">
            <a:avLst/>
          </a:prstGeom>
          <a:noFill/>
          <a:ln w="9525">
            <a:solidFill>
              <a:srgbClr val="000000"/>
            </a:solidFill>
            <a:round/>
            <a:headEnd/>
            <a:tailEnd type="triangle" w="med" len="med"/>
          </a:ln>
        </xdr:spPr>
      </xdr:sp>
      <xdr:sp macro="" textlink="">
        <xdr:nvSpPr>
          <xdr:cNvPr id="255" name="Line 794">
            <a:extLst>
              <a:ext uri="{FF2B5EF4-FFF2-40B4-BE49-F238E27FC236}">
                <a16:creationId xmlns:a16="http://schemas.microsoft.com/office/drawing/2014/main" id="{00000000-0008-0000-0000-0000FF000000}"/>
              </a:ext>
            </a:extLst>
          </xdr:cNvPr>
          <xdr:cNvSpPr>
            <a:spLocks noChangeShapeType="1"/>
          </xdr:cNvSpPr>
        </xdr:nvSpPr>
        <xdr:spPr bwMode="auto">
          <a:xfrm>
            <a:off x="3980" y="4214"/>
            <a:ext cx="360" cy="1"/>
          </a:xfrm>
          <a:prstGeom prst="line">
            <a:avLst/>
          </a:prstGeom>
          <a:noFill/>
          <a:ln w="9525">
            <a:solidFill>
              <a:srgbClr val="000000"/>
            </a:solidFill>
            <a:round/>
            <a:headEnd/>
            <a:tailEnd type="triangle" w="med" len="med"/>
          </a:ln>
        </xdr:spPr>
      </xdr:sp>
      <xdr:sp macro="" textlink="">
        <xdr:nvSpPr>
          <xdr:cNvPr id="256" name="Line 795">
            <a:extLst>
              <a:ext uri="{FF2B5EF4-FFF2-40B4-BE49-F238E27FC236}">
                <a16:creationId xmlns:a16="http://schemas.microsoft.com/office/drawing/2014/main" id="{00000000-0008-0000-0000-000000010000}"/>
              </a:ext>
            </a:extLst>
          </xdr:cNvPr>
          <xdr:cNvSpPr>
            <a:spLocks noChangeShapeType="1"/>
          </xdr:cNvSpPr>
        </xdr:nvSpPr>
        <xdr:spPr bwMode="auto">
          <a:xfrm>
            <a:off x="3420" y="4524"/>
            <a:ext cx="900" cy="0"/>
          </a:xfrm>
          <a:prstGeom prst="line">
            <a:avLst/>
          </a:prstGeom>
          <a:noFill/>
          <a:ln w="9525">
            <a:solidFill>
              <a:srgbClr val="000000"/>
            </a:solidFill>
            <a:round/>
            <a:headEnd/>
            <a:tailEnd/>
          </a:ln>
        </xdr:spPr>
      </xdr:sp>
      <xdr:sp macro="" textlink="">
        <xdr:nvSpPr>
          <xdr:cNvPr id="257" name="Line 796">
            <a:extLst>
              <a:ext uri="{FF2B5EF4-FFF2-40B4-BE49-F238E27FC236}">
                <a16:creationId xmlns:a16="http://schemas.microsoft.com/office/drawing/2014/main" id="{00000000-0008-0000-0000-000001010000}"/>
              </a:ext>
            </a:extLst>
          </xdr:cNvPr>
          <xdr:cNvSpPr>
            <a:spLocks noChangeShapeType="1"/>
          </xdr:cNvSpPr>
        </xdr:nvSpPr>
        <xdr:spPr bwMode="auto">
          <a:xfrm>
            <a:off x="4860" y="4224"/>
            <a:ext cx="1" cy="180"/>
          </a:xfrm>
          <a:prstGeom prst="line">
            <a:avLst/>
          </a:prstGeom>
          <a:noFill/>
          <a:ln w="9525">
            <a:solidFill>
              <a:srgbClr val="000000"/>
            </a:solidFill>
            <a:round/>
            <a:headEnd/>
            <a:tailEnd/>
          </a:ln>
        </xdr:spPr>
      </xdr:sp>
      <xdr:sp macro="" textlink="">
        <xdr:nvSpPr>
          <xdr:cNvPr id="258" name="Line 797">
            <a:extLst>
              <a:ext uri="{FF2B5EF4-FFF2-40B4-BE49-F238E27FC236}">
                <a16:creationId xmlns:a16="http://schemas.microsoft.com/office/drawing/2014/main" id="{00000000-0008-0000-0000-000002010000}"/>
              </a:ext>
            </a:extLst>
          </xdr:cNvPr>
          <xdr:cNvSpPr>
            <a:spLocks noChangeShapeType="1"/>
          </xdr:cNvSpPr>
        </xdr:nvSpPr>
        <xdr:spPr bwMode="auto">
          <a:xfrm flipH="1">
            <a:off x="4320" y="4834"/>
            <a:ext cx="540" cy="1"/>
          </a:xfrm>
          <a:prstGeom prst="line">
            <a:avLst/>
          </a:prstGeom>
          <a:noFill/>
          <a:ln w="9525">
            <a:solidFill>
              <a:srgbClr val="000000"/>
            </a:solidFill>
            <a:round/>
            <a:headEnd/>
            <a:tailEnd type="triangle" w="med" len="med"/>
          </a:ln>
        </xdr:spPr>
      </xdr:sp>
      <xdr:sp macro="" textlink="">
        <xdr:nvSpPr>
          <xdr:cNvPr id="259" name="Line 798">
            <a:extLst>
              <a:ext uri="{FF2B5EF4-FFF2-40B4-BE49-F238E27FC236}">
                <a16:creationId xmlns:a16="http://schemas.microsoft.com/office/drawing/2014/main" id="{00000000-0008-0000-0000-000003010000}"/>
              </a:ext>
            </a:extLst>
          </xdr:cNvPr>
          <xdr:cNvSpPr>
            <a:spLocks noChangeShapeType="1"/>
          </xdr:cNvSpPr>
        </xdr:nvSpPr>
        <xdr:spPr bwMode="auto">
          <a:xfrm flipH="1">
            <a:off x="4340" y="4214"/>
            <a:ext cx="540" cy="1"/>
          </a:xfrm>
          <a:prstGeom prst="line">
            <a:avLst/>
          </a:prstGeom>
          <a:noFill/>
          <a:ln w="9525">
            <a:solidFill>
              <a:srgbClr val="000000"/>
            </a:solidFill>
            <a:round/>
            <a:headEnd/>
            <a:tailEnd type="triangle" w="med" len="med"/>
          </a:ln>
        </xdr:spPr>
      </xdr:sp>
      <xdr:sp macro="" textlink="">
        <xdr:nvSpPr>
          <xdr:cNvPr id="260" name="Line 799">
            <a:extLst>
              <a:ext uri="{FF2B5EF4-FFF2-40B4-BE49-F238E27FC236}">
                <a16:creationId xmlns:a16="http://schemas.microsoft.com/office/drawing/2014/main" id="{00000000-0008-0000-0000-000004010000}"/>
              </a:ext>
            </a:extLst>
          </xdr:cNvPr>
          <xdr:cNvSpPr>
            <a:spLocks noChangeShapeType="1"/>
          </xdr:cNvSpPr>
        </xdr:nvSpPr>
        <xdr:spPr bwMode="auto">
          <a:xfrm rot="-2590902">
            <a:off x="4800" y="4474"/>
            <a:ext cx="1" cy="180"/>
          </a:xfrm>
          <a:prstGeom prst="line">
            <a:avLst/>
          </a:prstGeom>
          <a:noFill/>
          <a:ln w="9525">
            <a:solidFill>
              <a:srgbClr val="000000"/>
            </a:solidFill>
            <a:round/>
            <a:headEnd/>
            <a:tailEnd/>
          </a:ln>
        </xdr:spPr>
      </xdr:sp>
      <xdr:sp macro="" textlink="">
        <xdr:nvSpPr>
          <xdr:cNvPr id="261" name="Line 800">
            <a:extLst>
              <a:ext uri="{FF2B5EF4-FFF2-40B4-BE49-F238E27FC236}">
                <a16:creationId xmlns:a16="http://schemas.microsoft.com/office/drawing/2014/main" id="{00000000-0008-0000-0000-000005010000}"/>
              </a:ext>
            </a:extLst>
          </xdr:cNvPr>
          <xdr:cNvSpPr>
            <a:spLocks noChangeShapeType="1"/>
          </xdr:cNvSpPr>
        </xdr:nvSpPr>
        <xdr:spPr bwMode="auto">
          <a:xfrm>
            <a:off x="4860" y="4634"/>
            <a:ext cx="1" cy="180"/>
          </a:xfrm>
          <a:prstGeom prst="line">
            <a:avLst/>
          </a:prstGeom>
          <a:noFill/>
          <a:ln w="9525">
            <a:solidFill>
              <a:srgbClr val="000000"/>
            </a:solidFill>
            <a:round/>
            <a:headEnd/>
            <a:tailEnd/>
          </a:ln>
        </xdr:spPr>
      </xdr:sp>
      <xdr:sp macro="" textlink="">
        <xdr:nvSpPr>
          <xdr:cNvPr id="262" name="Line 801">
            <a:extLst>
              <a:ext uri="{FF2B5EF4-FFF2-40B4-BE49-F238E27FC236}">
                <a16:creationId xmlns:a16="http://schemas.microsoft.com/office/drawing/2014/main" id="{00000000-0008-0000-0000-000006010000}"/>
              </a:ext>
            </a:extLst>
          </xdr:cNvPr>
          <xdr:cNvSpPr>
            <a:spLocks noChangeShapeType="1"/>
          </xdr:cNvSpPr>
        </xdr:nvSpPr>
        <xdr:spPr bwMode="auto">
          <a:xfrm rot="1679829">
            <a:off x="4870" y="4324"/>
            <a:ext cx="1" cy="180"/>
          </a:xfrm>
          <a:prstGeom prst="line">
            <a:avLst/>
          </a:prstGeom>
          <a:noFill/>
          <a:ln w="9525">
            <a:solidFill>
              <a:srgbClr val="000000"/>
            </a:solidFill>
            <a:round/>
            <a:headEnd/>
            <a:tailEnd/>
          </a:ln>
        </xdr:spPr>
      </xdr:sp>
      <xdr:sp macro="" textlink="">
        <xdr:nvSpPr>
          <xdr:cNvPr id="263" name="Line 802">
            <a:extLst>
              <a:ext uri="{FF2B5EF4-FFF2-40B4-BE49-F238E27FC236}">
                <a16:creationId xmlns:a16="http://schemas.microsoft.com/office/drawing/2014/main" id="{00000000-0008-0000-0000-000007010000}"/>
              </a:ext>
            </a:extLst>
          </xdr:cNvPr>
          <xdr:cNvSpPr>
            <a:spLocks noChangeShapeType="1"/>
          </xdr:cNvSpPr>
        </xdr:nvSpPr>
        <xdr:spPr bwMode="auto">
          <a:xfrm rot="-3720171">
            <a:off x="4850" y="4325"/>
            <a:ext cx="1" cy="180"/>
          </a:xfrm>
          <a:prstGeom prst="line">
            <a:avLst/>
          </a:prstGeom>
          <a:noFill/>
          <a:ln w="9525">
            <a:solidFill>
              <a:srgbClr val="000000"/>
            </a:solidFill>
            <a:round/>
            <a:headEnd/>
            <a:tailEnd/>
          </a:ln>
        </xdr:spPr>
      </xdr:sp>
      <xdr:sp macro="" textlink="">
        <xdr:nvSpPr>
          <xdr:cNvPr id="264" name="Line 803">
            <a:extLst>
              <a:ext uri="{FF2B5EF4-FFF2-40B4-BE49-F238E27FC236}">
                <a16:creationId xmlns:a16="http://schemas.microsoft.com/office/drawing/2014/main" id="{00000000-0008-0000-0000-000008010000}"/>
              </a:ext>
            </a:extLst>
          </xdr:cNvPr>
          <xdr:cNvSpPr>
            <a:spLocks noChangeShapeType="1"/>
          </xdr:cNvSpPr>
        </xdr:nvSpPr>
        <xdr:spPr bwMode="auto">
          <a:xfrm>
            <a:off x="3960" y="4844"/>
            <a:ext cx="1" cy="900"/>
          </a:xfrm>
          <a:prstGeom prst="line">
            <a:avLst/>
          </a:prstGeom>
          <a:noFill/>
          <a:ln w="9525">
            <a:solidFill>
              <a:srgbClr val="000000"/>
            </a:solidFill>
            <a:round/>
            <a:headEnd/>
            <a:tailEnd type="triangle" w="med" len="med"/>
          </a:ln>
        </xdr:spPr>
      </xdr:sp>
      <xdr:sp macro="" textlink="">
        <xdr:nvSpPr>
          <xdr:cNvPr id="265" name="Oval 804">
            <a:extLst>
              <a:ext uri="{FF2B5EF4-FFF2-40B4-BE49-F238E27FC236}">
                <a16:creationId xmlns:a16="http://schemas.microsoft.com/office/drawing/2014/main" id="{00000000-0008-0000-0000-000009010000}"/>
              </a:ext>
            </a:extLst>
          </xdr:cNvPr>
          <xdr:cNvSpPr>
            <a:spLocks noChangeArrowheads="1"/>
          </xdr:cNvSpPr>
        </xdr:nvSpPr>
        <xdr:spPr bwMode="auto">
          <a:xfrm>
            <a:off x="3870" y="5204"/>
            <a:ext cx="180" cy="180"/>
          </a:xfrm>
          <a:prstGeom prst="ellipse">
            <a:avLst/>
          </a:prstGeom>
          <a:noFill/>
          <a:ln w="9525">
            <a:solidFill>
              <a:srgbClr val="000000"/>
            </a:solidFill>
            <a:round/>
            <a:headEnd/>
            <a:tailEnd/>
          </a:ln>
        </xdr:spPr>
      </xdr:sp>
      <xdr:sp macro="" textlink="">
        <xdr:nvSpPr>
          <xdr:cNvPr id="266" name="Text Box 805">
            <a:extLst>
              <a:ext uri="{FF2B5EF4-FFF2-40B4-BE49-F238E27FC236}">
                <a16:creationId xmlns:a16="http://schemas.microsoft.com/office/drawing/2014/main" id="{00000000-0008-0000-0000-00000A010000}"/>
              </a:ext>
            </a:extLst>
          </xdr:cNvPr>
          <xdr:cNvSpPr txBox="1">
            <a:spLocks noChangeArrowheads="1"/>
          </xdr:cNvSpPr>
        </xdr:nvSpPr>
        <xdr:spPr bwMode="auto">
          <a:xfrm>
            <a:off x="3959" y="3016"/>
            <a:ext cx="537" cy="355"/>
          </a:xfrm>
          <a:prstGeom prst="rect">
            <a:avLst/>
          </a:prstGeom>
          <a:noFill/>
          <a:ln w="9525">
            <a:noFill/>
            <a:miter lim="800000"/>
            <a:headEnd/>
            <a:tailEnd/>
          </a:ln>
        </xdr:spPr>
        <xdr:txBody>
          <a:bodyPr vertOverflow="clip" wrap="square" lIns="91440" tIns="45720" rIns="91440" bIns="45720" anchor="t" upright="1"/>
          <a:lstStyle/>
          <a:p>
            <a:pPr algn="l" rtl="0">
              <a:defRPr sz="1000"/>
            </a:pPr>
            <a:r>
              <a:rPr lang="en-US" sz="1000" b="0" i="0" u="none" strike="noStrike" baseline="0">
                <a:solidFill>
                  <a:srgbClr val="000000"/>
                </a:solidFill>
                <a:latin typeface="Times New Roman"/>
                <a:cs typeface="Times New Roman"/>
              </a:rPr>
              <a:t>A</a:t>
            </a:r>
          </a:p>
          <a:p>
            <a:pPr algn="l" rtl="0">
              <a:defRPr sz="1000"/>
            </a:pPr>
            <a:endParaRPr lang="en-US" sz="1000" b="0" i="0" u="none" strike="noStrike" baseline="0">
              <a:solidFill>
                <a:srgbClr val="000000"/>
              </a:solidFill>
              <a:latin typeface="Times New Roman"/>
              <a:cs typeface="Times New Roman"/>
            </a:endParaRPr>
          </a:p>
        </xdr:txBody>
      </xdr:sp>
      <xdr:sp macro="" textlink="">
        <xdr:nvSpPr>
          <xdr:cNvPr id="267" name="Text Box 806">
            <a:extLst>
              <a:ext uri="{FF2B5EF4-FFF2-40B4-BE49-F238E27FC236}">
                <a16:creationId xmlns:a16="http://schemas.microsoft.com/office/drawing/2014/main" id="{00000000-0008-0000-0000-00000B010000}"/>
              </a:ext>
            </a:extLst>
          </xdr:cNvPr>
          <xdr:cNvSpPr txBox="1">
            <a:spLocks noChangeArrowheads="1"/>
          </xdr:cNvSpPr>
        </xdr:nvSpPr>
        <xdr:spPr bwMode="auto">
          <a:xfrm>
            <a:off x="4864" y="4353"/>
            <a:ext cx="537" cy="355"/>
          </a:xfrm>
          <a:prstGeom prst="rect">
            <a:avLst/>
          </a:prstGeom>
          <a:noFill/>
          <a:ln w="9525">
            <a:noFill/>
            <a:miter lim="800000"/>
            <a:headEnd/>
            <a:tailEnd/>
          </a:ln>
        </xdr:spPr>
        <xdr:txBody>
          <a:bodyPr vertOverflow="clip" wrap="square" lIns="91440" tIns="45720" rIns="91440" bIns="45720" anchor="t" upright="1"/>
          <a:lstStyle/>
          <a:p>
            <a:pPr algn="l" rtl="0">
              <a:defRPr sz="1000"/>
            </a:pPr>
            <a:r>
              <a:rPr lang="en-US" sz="1000" b="0" i="0" u="none" strike="noStrike" baseline="0">
                <a:solidFill>
                  <a:srgbClr val="000000"/>
                </a:solidFill>
                <a:latin typeface="Times New Roman"/>
                <a:cs typeface="Times New Roman"/>
              </a:rPr>
              <a:t>B</a:t>
            </a:r>
          </a:p>
          <a:p>
            <a:pPr algn="l" rtl="0">
              <a:defRPr sz="1000"/>
            </a:pPr>
            <a:endParaRPr lang="en-US" sz="1000" b="0" i="0" u="none" strike="noStrike" baseline="0">
              <a:solidFill>
                <a:srgbClr val="000000"/>
              </a:solidFill>
              <a:latin typeface="Times New Roman"/>
              <a:cs typeface="Times New Roman"/>
            </a:endParaRPr>
          </a:p>
        </xdr:txBody>
      </xdr:sp>
      <xdr:sp macro="" textlink="">
        <xdr:nvSpPr>
          <xdr:cNvPr id="268" name="Text Box 807">
            <a:extLst>
              <a:ext uri="{FF2B5EF4-FFF2-40B4-BE49-F238E27FC236}">
                <a16:creationId xmlns:a16="http://schemas.microsoft.com/office/drawing/2014/main" id="{00000000-0008-0000-0000-00000C010000}"/>
              </a:ext>
            </a:extLst>
          </xdr:cNvPr>
          <xdr:cNvSpPr txBox="1">
            <a:spLocks noChangeArrowheads="1"/>
          </xdr:cNvSpPr>
        </xdr:nvSpPr>
        <xdr:spPr bwMode="auto">
          <a:xfrm>
            <a:off x="3943" y="5251"/>
            <a:ext cx="537" cy="355"/>
          </a:xfrm>
          <a:prstGeom prst="rect">
            <a:avLst/>
          </a:prstGeom>
          <a:noFill/>
          <a:ln w="9525">
            <a:noFill/>
            <a:miter lim="800000"/>
            <a:headEnd/>
            <a:tailEnd/>
          </a:ln>
        </xdr:spPr>
        <xdr:txBody>
          <a:bodyPr vertOverflow="clip" wrap="square" lIns="91440" tIns="45720" rIns="91440" bIns="45720" anchor="t" upright="1"/>
          <a:lstStyle/>
          <a:p>
            <a:pPr algn="l" rtl="0">
              <a:defRPr sz="1000"/>
            </a:pPr>
            <a:r>
              <a:rPr lang="en-US" sz="1000" b="0" i="0" u="none" strike="noStrike" baseline="0">
                <a:solidFill>
                  <a:srgbClr val="000000"/>
                </a:solidFill>
                <a:latin typeface="Times New Roman"/>
                <a:cs typeface="Times New Roman"/>
              </a:rPr>
              <a:t>CA</a:t>
            </a:r>
          </a:p>
          <a:p>
            <a:pPr algn="l" rtl="0">
              <a:defRPr sz="1000"/>
            </a:pPr>
            <a:endParaRPr lang="en-US" sz="1000" b="0" i="0" u="none" strike="noStrike" baseline="0">
              <a:solidFill>
                <a:srgbClr val="000000"/>
              </a:solidFill>
              <a:latin typeface="Times New Roman"/>
              <a:cs typeface="Times New Roman"/>
            </a:endParaRPr>
          </a:p>
        </xdr:txBody>
      </xdr:sp>
      <xdr:sp macro="" textlink="">
        <xdr:nvSpPr>
          <xdr:cNvPr id="269" name="Text Box 808">
            <a:extLst>
              <a:ext uri="{FF2B5EF4-FFF2-40B4-BE49-F238E27FC236}">
                <a16:creationId xmlns:a16="http://schemas.microsoft.com/office/drawing/2014/main" id="{00000000-0008-0000-0000-00000D010000}"/>
              </a:ext>
            </a:extLst>
          </xdr:cNvPr>
          <xdr:cNvSpPr txBox="1">
            <a:spLocks noChangeArrowheads="1"/>
          </xdr:cNvSpPr>
        </xdr:nvSpPr>
        <xdr:spPr bwMode="auto">
          <a:xfrm>
            <a:off x="2792" y="3204"/>
            <a:ext cx="537" cy="376"/>
          </a:xfrm>
          <a:prstGeom prst="rect">
            <a:avLst/>
          </a:prstGeom>
          <a:noFill/>
          <a:ln w="9525">
            <a:noFill/>
            <a:miter lim="800000"/>
            <a:headEnd/>
            <a:tailEnd/>
          </a:ln>
        </xdr:spPr>
        <xdr:txBody>
          <a:bodyPr vertOverflow="clip" wrap="square" lIns="91440" tIns="45720" rIns="91440" bIns="45720" anchor="t" upright="1"/>
          <a:lstStyle/>
          <a:p>
            <a:pPr algn="l" rtl="0">
              <a:defRPr sz="1000"/>
            </a:pPr>
            <a:r>
              <a:rPr lang="en-US" sz="1000" b="0" i="0" u="none" strike="noStrike" baseline="0">
                <a:solidFill>
                  <a:srgbClr val="000000"/>
                </a:solidFill>
                <a:latin typeface="Times New Roman"/>
                <a:cs typeface="Times New Roman"/>
              </a:rPr>
              <a:t>1</a:t>
            </a:r>
          </a:p>
          <a:p>
            <a:pPr algn="l" rtl="0">
              <a:defRPr sz="1000"/>
            </a:pPr>
            <a:endParaRPr lang="en-US" sz="1000" b="0" i="0" u="none" strike="noStrike" baseline="0">
              <a:solidFill>
                <a:srgbClr val="000000"/>
              </a:solidFill>
              <a:latin typeface="Times New Roman"/>
              <a:cs typeface="Times New Roman"/>
            </a:endParaRPr>
          </a:p>
        </xdr:txBody>
      </xdr:sp>
      <xdr:sp macro="" textlink="">
        <xdr:nvSpPr>
          <xdr:cNvPr id="270" name="Text Box 809">
            <a:extLst>
              <a:ext uri="{FF2B5EF4-FFF2-40B4-BE49-F238E27FC236}">
                <a16:creationId xmlns:a16="http://schemas.microsoft.com/office/drawing/2014/main" id="{00000000-0008-0000-0000-00000E010000}"/>
              </a:ext>
            </a:extLst>
          </xdr:cNvPr>
          <xdr:cNvSpPr txBox="1">
            <a:spLocks noChangeArrowheads="1"/>
          </xdr:cNvSpPr>
        </xdr:nvSpPr>
        <xdr:spPr bwMode="auto">
          <a:xfrm>
            <a:off x="5617" y="5084"/>
            <a:ext cx="537" cy="355"/>
          </a:xfrm>
          <a:prstGeom prst="rect">
            <a:avLst/>
          </a:prstGeom>
          <a:noFill/>
          <a:ln w="9525">
            <a:noFill/>
            <a:miter lim="800000"/>
            <a:headEnd/>
            <a:tailEnd/>
          </a:ln>
        </xdr:spPr>
        <xdr:txBody>
          <a:bodyPr vertOverflow="clip" wrap="square" lIns="91440" tIns="45720" rIns="91440" bIns="45720" anchor="t" upright="1"/>
          <a:lstStyle/>
          <a:p>
            <a:pPr algn="l" rtl="0">
              <a:defRPr sz="1000"/>
            </a:pPr>
            <a:r>
              <a:rPr lang="en-US" sz="1000" b="0" i="0" u="none" strike="noStrike" baseline="0">
                <a:solidFill>
                  <a:srgbClr val="000000"/>
                </a:solidFill>
                <a:latin typeface="Times New Roman"/>
                <a:cs typeface="Times New Roman"/>
              </a:rPr>
              <a:t>2</a:t>
            </a:r>
          </a:p>
          <a:p>
            <a:pPr algn="l" rtl="0">
              <a:defRPr sz="1000"/>
            </a:pPr>
            <a:endParaRPr lang="en-US" sz="1000" b="0" i="0" u="none" strike="noStrike" baseline="0">
              <a:solidFill>
                <a:srgbClr val="000000"/>
              </a:solidFill>
              <a:latin typeface="Times New Roman"/>
              <a:cs typeface="Times New Roman"/>
            </a:endParaRPr>
          </a:p>
        </xdr:txBody>
      </xdr:sp>
      <xdr:sp macro="" textlink="">
        <xdr:nvSpPr>
          <xdr:cNvPr id="271" name="Text Box 810">
            <a:extLst>
              <a:ext uri="{FF2B5EF4-FFF2-40B4-BE49-F238E27FC236}">
                <a16:creationId xmlns:a16="http://schemas.microsoft.com/office/drawing/2014/main" id="{00000000-0008-0000-0000-00000F010000}"/>
              </a:ext>
            </a:extLst>
          </xdr:cNvPr>
          <xdr:cNvSpPr txBox="1">
            <a:spLocks noChangeArrowheads="1"/>
          </xdr:cNvSpPr>
        </xdr:nvSpPr>
        <xdr:spPr bwMode="auto">
          <a:xfrm>
            <a:off x="2807" y="4854"/>
            <a:ext cx="537" cy="376"/>
          </a:xfrm>
          <a:prstGeom prst="rect">
            <a:avLst/>
          </a:prstGeom>
          <a:noFill/>
          <a:ln w="9525">
            <a:noFill/>
            <a:miter lim="800000"/>
            <a:headEnd/>
            <a:tailEnd/>
          </a:ln>
        </xdr:spPr>
        <xdr:txBody>
          <a:bodyPr vertOverflow="clip" wrap="square" lIns="91440" tIns="45720" rIns="91440" bIns="45720" anchor="t" upright="1"/>
          <a:lstStyle/>
          <a:p>
            <a:pPr algn="l" rtl="0">
              <a:defRPr sz="1000"/>
            </a:pPr>
            <a:r>
              <a:rPr lang="en-US" sz="1000" b="0" i="0" u="none" strike="noStrike" baseline="0">
                <a:solidFill>
                  <a:srgbClr val="000000"/>
                </a:solidFill>
                <a:latin typeface="Times New Roman"/>
                <a:cs typeface="Times New Roman"/>
              </a:rPr>
              <a:t>3</a:t>
            </a:r>
          </a:p>
          <a:p>
            <a:pPr algn="l" rtl="0">
              <a:defRPr sz="1000"/>
            </a:pPr>
            <a:endParaRPr lang="en-US" sz="1000" b="0" i="0" u="none" strike="noStrike" baseline="0">
              <a:solidFill>
                <a:srgbClr val="000000"/>
              </a:solidFill>
              <a:latin typeface="Times New Roman"/>
              <a:cs typeface="Times New Roman"/>
            </a:endParaRPr>
          </a:p>
        </xdr:txBody>
      </xdr:sp>
      <xdr:sp macro="" textlink="">
        <xdr:nvSpPr>
          <xdr:cNvPr id="272" name="Text Box 811">
            <a:extLst>
              <a:ext uri="{FF2B5EF4-FFF2-40B4-BE49-F238E27FC236}">
                <a16:creationId xmlns:a16="http://schemas.microsoft.com/office/drawing/2014/main" id="{00000000-0008-0000-0000-000010010000}"/>
              </a:ext>
            </a:extLst>
          </xdr:cNvPr>
          <xdr:cNvSpPr txBox="1">
            <a:spLocks noChangeArrowheads="1"/>
          </xdr:cNvSpPr>
        </xdr:nvSpPr>
        <xdr:spPr bwMode="auto">
          <a:xfrm>
            <a:off x="5663" y="2975"/>
            <a:ext cx="537" cy="355"/>
          </a:xfrm>
          <a:prstGeom prst="rect">
            <a:avLst/>
          </a:prstGeom>
          <a:noFill/>
          <a:ln w="9525">
            <a:noFill/>
            <a:miter lim="800000"/>
            <a:headEnd/>
            <a:tailEnd/>
          </a:ln>
        </xdr:spPr>
        <xdr:txBody>
          <a:bodyPr vertOverflow="clip" wrap="square" lIns="91440" tIns="45720" rIns="91440" bIns="45720" anchor="t" upright="1"/>
          <a:lstStyle/>
          <a:p>
            <a:pPr algn="l" rtl="0">
              <a:defRPr sz="1000"/>
            </a:pPr>
            <a:r>
              <a:rPr lang="en-US" sz="1000" b="0" i="0" u="none" strike="noStrike" baseline="0">
                <a:solidFill>
                  <a:srgbClr val="000000"/>
                </a:solidFill>
                <a:latin typeface="Times New Roman"/>
                <a:cs typeface="Times New Roman"/>
              </a:rPr>
              <a:t>4</a:t>
            </a:r>
          </a:p>
          <a:p>
            <a:pPr algn="l" rtl="0">
              <a:defRPr sz="1000"/>
            </a:pPr>
            <a:endParaRPr lang="en-US" sz="1000" b="0" i="0" u="none" strike="noStrike" baseline="0">
              <a:solidFill>
                <a:srgbClr val="000000"/>
              </a:solidFill>
              <a:latin typeface="Times New Roman"/>
              <a:cs typeface="Times New Roman"/>
            </a:endParaRPr>
          </a:p>
        </xdr:txBody>
      </xdr:sp>
      <xdr:sp macro="" textlink="">
        <xdr:nvSpPr>
          <xdr:cNvPr id="273" name="Line 812">
            <a:extLst>
              <a:ext uri="{FF2B5EF4-FFF2-40B4-BE49-F238E27FC236}">
                <a16:creationId xmlns:a16="http://schemas.microsoft.com/office/drawing/2014/main" id="{00000000-0008-0000-0000-000011010000}"/>
              </a:ext>
            </a:extLst>
          </xdr:cNvPr>
          <xdr:cNvSpPr>
            <a:spLocks noChangeShapeType="1"/>
          </xdr:cNvSpPr>
        </xdr:nvSpPr>
        <xdr:spPr bwMode="auto">
          <a:xfrm>
            <a:off x="4320" y="3864"/>
            <a:ext cx="1080" cy="1"/>
          </a:xfrm>
          <a:prstGeom prst="line">
            <a:avLst/>
          </a:prstGeom>
          <a:noFill/>
          <a:ln w="9525">
            <a:solidFill>
              <a:srgbClr val="000000"/>
            </a:solidFill>
            <a:round/>
            <a:headEnd/>
            <a:tailEnd/>
          </a:ln>
        </xdr:spPr>
      </xdr:sp>
      <xdr:sp macro="" textlink="">
        <xdr:nvSpPr>
          <xdr:cNvPr id="274" name="Line 813">
            <a:extLst>
              <a:ext uri="{FF2B5EF4-FFF2-40B4-BE49-F238E27FC236}">
                <a16:creationId xmlns:a16="http://schemas.microsoft.com/office/drawing/2014/main" id="{00000000-0008-0000-0000-000012010000}"/>
              </a:ext>
            </a:extLst>
          </xdr:cNvPr>
          <xdr:cNvSpPr>
            <a:spLocks noChangeShapeType="1"/>
          </xdr:cNvSpPr>
        </xdr:nvSpPr>
        <xdr:spPr bwMode="auto">
          <a:xfrm flipV="1">
            <a:off x="5400" y="3194"/>
            <a:ext cx="360" cy="180"/>
          </a:xfrm>
          <a:prstGeom prst="line">
            <a:avLst/>
          </a:prstGeom>
          <a:noFill/>
          <a:ln w="9525">
            <a:solidFill>
              <a:srgbClr val="000000"/>
            </a:solidFill>
            <a:round/>
            <a:headEnd/>
            <a:tailEnd/>
          </a:ln>
        </xdr:spPr>
      </xdr:sp>
      <xdr:sp macro="" textlink="">
        <xdr:nvSpPr>
          <xdr:cNvPr id="275" name="Line 814">
            <a:extLst>
              <a:ext uri="{FF2B5EF4-FFF2-40B4-BE49-F238E27FC236}">
                <a16:creationId xmlns:a16="http://schemas.microsoft.com/office/drawing/2014/main" id="{00000000-0008-0000-0000-000013010000}"/>
              </a:ext>
            </a:extLst>
          </xdr:cNvPr>
          <xdr:cNvSpPr>
            <a:spLocks noChangeShapeType="1"/>
          </xdr:cNvSpPr>
        </xdr:nvSpPr>
        <xdr:spPr bwMode="auto">
          <a:xfrm>
            <a:off x="5400" y="5014"/>
            <a:ext cx="300" cy="230"/>
          </a:xfrm>
          <a:prstGeom prst="line">
            <a:avLst/>
          </a:prstGeom>
          <a:noFill/>
          <a:ln w="9525">
            <a:solidFill>
              <a:srgbClr val="000000"/>
            </a:solidFill>
            <a:round/>
            <a:headEnd/>
            <a:tailEnd/>
          </a:ln>
        </xdr:spPr>
      </xdr:sp>
      <xdr:sp macro="" textlink="">
        <xdr:nvSpPr>
          <xdr:cNvPr id="276" name="Line 815">
            <a:extLst>
              <a:ext uri="{FF2B5EF4-FFF2-40B4-BE49-F238E27FC236}">
                <a16:creationId xmlns:a16="http://schemas.microsoft.com/office/drawing/2014/main" id="{00000000-0008-0000-0000-000014010000}"/>
              </a:ext>
            </a:extLst>
          </xdr:cNvPr>
          <xdr:cNvSpPr>
            <a:spLocks noChangeShapeType="1"/>
          </xdr:cNvSpPr>
        </xdr:nvSpPr>
        <xdr:spPr bwMode="auto">
          <a:xfrm rot="5400000" flipV="1">
            <a:off x="3095" y="3409"/>
            <a:ext cx="290" cy="360"/>
          </a:xfrm>
          <a:prstGeom prst="line">
            <a:avLst/>
          </a:prstGeom>
          <a:noFill/>
          <a:ln w="9525">
            <a:solidFill>
              <a:srgbClr val="000000"/>
            </a:solidFill>
            <a:round/>
            <a:headEnd/>
            <a:tailEnd/>
          </a:ln>
        </xdr:spPr>
      </xdr:sp>
      <xdr:sp macro="" textlink="">
        <xdr:nvSpPr>
          <xdr:cNvPr id="277" name="Line 816">
            <a:extLst>
              <a:ext uri="{FF2B5EF4-FFF2-40B4-BE49-F238E27FC236}">
                <a16:creationId xmlns:a16="http://schemas.microsoft.com/office/drawing/2014/main" id="{00000000-0008-0000-0000-000015010000}"/>
              </a:ext>
            </a:extLst>
          </xdr:cNvPr>
          <xdr:cNvSpPr>
            <a:spLocks noChangeShapeType="1"/>
          </xdr:cNvSpPr>
        </xdr:nvSpPr>
        <xdr:spPr bwMode="auto">
          <a:xfrm rot="5400000" flipV="1">
            <a:off x="3105" y="5059"/>
            <a:ext cx="290" cy="360"/>
          </a:xfrm>
          <a:prstGeom prst="line">
            <a:avLst/>
          </a:prstGeom>
          <a:noFill/>
          <a:ln w="9525">
            <a:solidFill>
              <a:srgbClr val="000000"/>
            </a:solidFill>
            <a:round/>
            <a:headEnd/>
            <a:tailEnd/>
          </a:ln>
        </xdr:spPr>
      </xdr:sp>
      <xdr:sp macro="" textlink="">
        <xdr:nvSpPr>
          <xdr:cNvPr id="278" name="Line 817">
            <a:extLst>
              <a:ext uri="{FF2B5EF4-FFF2-40B4-BE49-F238E27FC236}">
                <a16:creationId xmlns:a16="http://schemas.microsoft.com/office/drawing/2014/main" id="{00000000-0008-0000-0000-000016010000}"/>
              </a:ext>
            </a:extLst>
          </xdr:cNvPr>
          <xdr:cNvSpPr>
            <a:spLocks noChangeShapeType="1"/>
          </xdr:cNvSpPr>
        </xdr:nvSpPr>
        <xdr:spPr bwMode="auto">
          <a:xfrm>
            <a:off x="4330" y="2904"/>
            <a:ext cx="1" cy="3060"/>
          </a:xfrm>
          <a:prstGeom prst="line">
            <a:avLst/>
          </a:prstGeom>
          <a:noFill/>
          <a:ln w="9525">
            <a:solidFill>
              <a:srgbClr val="000000"/>
            </a:solidFill>
            <a:round/>
            <a:headEnd/>
            <a:tailEnd/>
          </a:ln>
        </xdr:spPr>
      </xdr:sp>
    </xdr:grpSp>
    <xdr:clientData/>
  </xdr:twoCellAnchor>
  <xdr:twoCellAnchor>
    <xdr:from>
      <xdr:col>1</xdr:col>
      <xdr:colOff>409575</xdr:colOff>
      <xdr:row>13</xdr:row>
      <xdr:rowOff>47625</xdr:rowOff>
    </xdr:from>
    <xdr:to>
      <xdr:col>1</xdr:col>
      <xdr:colOff>2238375</xdr:colOff>
      <xdr:row>13</xdr:row>
      <xdr:rowOff>1895475</xdr:rowOff>
    </xdr:to>
    <xdr:grpSp>
      <xdr:nvGrpSpPr>
        <xdr:cNvPr id="279" name="Group 783">
          <a:extLst>
            <a:ext uri="{FF2B5EF4-FFF2-40B4-BE49-F238E27FC236}">
              <a16:creationId xmlns:a16="http://schemas.microsoft.com/office/drawing/2014/main" id="{00000000-0008-0000-0000-000017010000}"/>
            </a:ext>
          </a:extLst>
        </xdr:cNvPr>
        <xdr:cNvGrpSpPr>
          <a:grpSpLocks noChangeAspect="1"/>
        </xdr:cNvGrpSpPr>
      </xdr:nvGrpSpPr>
      <xdr:grpSpPr bwMode="auto">
        <a:xfrm>
          <a:off x="940254" y="5095875"/>
          <a:ext cx="1828800" cy="1847850"/>
          <a:chOff x="2700" y="2724"/>
          <a:chExt cx="3500" cy="3780"/>
        </a:xfrm>
      </xdr:grpSpPr>
      <xdr:sp macro="" textlink="">
        <xdr:nvSpPr>
          <xdr:cNvPr id="280" name="AutoShape 784">
            <a:extLst>
              <a:ext uri="{FF2B5EF4-FFF2-40B4-BE49-F238E27FC236}">
                <a16:creationId xmlns:a16="http://schemas.microsoft.com/office/drawing/2014/main" id="{00000000-0008-0000-0000-000018010000}"/>
              </a:ext>
            </a:extLst>
          </xdr:cNvPr>
          <xdr:cNvSpPr>
            <a:spLocks noChangeAspect="1" noChangeArrowheads="1"/>
          </xdr:cNvSpPr>
        </xdr:nvSpPr>
        <xdr:spPr bwMode="auto">
          <a:xfrm>
            <a:off x="2700" y="2724"/>
            <a:ext cx="3500" cy="3780"/>
          </a:xfrm>
          <a:prstGeom prst="rect">
            <a:avLst/>
          </a:prstGeom>
          <a:noFill/>
          <a:ln w="9525">
            <a:noFill/>
            <a:miter lim="800000"/>
            <a:headEnd/>
            <a:tailEnd/>
          </a:ln>
        </xdr:spPr>
      </xdr:sp>
      <xdr:sp macro="" textlink="">
        <xdr:nvSpPr>
          <xdr:cNvPr id="281" name="Rectangle 785">
            <a:extLst>
              <a:ext uri="{FF2B5EF4-FFF2-40B4-BE49-F238E27FC236}">
                <a16:creationId xmlns:a16="http://schemas.microsoft.com/office/drawing/2014/main" id="{00000000-0008-0000-0000-000019010000}"/>
              </a:ext>
            </a:extLst>
          </xdr:cNvPr>
          <xdr:cNvSpPr>
            <a:spLocks noChangeArrowheads="1"/>
          </xdr:cNvSpPr>
        </xdr:nvSpPr>
        <xdr:spPr bwMode="auto">
          <a:xfrm>
            <a:off x="3420" y="2904"/>
            <a:ext cx="1980" cy="3060"/>
          </a:xfrm>
          <a:prstGeom prst="rect">
            <a:avLst/>
          </a:prstGeom>
          <a:solidFill>
            <a:srgbClr val="FFFFFF"/>
          </a:solidFill>
          <a:ln w="9525">
            <a:solidFill>
              <a:srgbClr val="000000"/>
            </a:solidFill>
            <a:miter lim="800000"/>
            <a:headEnd/>
            <a:tailEnd/>
          </a:ln>
        </xdr:spPr>
      </xdr:sp>
      <xdr:sp macro="" textlink="">
        <xdr:nvSpPr>
          <xdr:cNvPr id="282" name="Line 786">
            <a:extLst>
              <a:ext uri="{FF2B5EF4-FFF2-40B4-BE49-F238E27FC236}">
                <a16:creationId xmlns:a16="http://schemas.microsoft.com/office/drawing/2014/main" id="{00000000-0008-0000-0000-00001A010000}"/>
              </a:ext>
            </a:extLst>
          </xdr:cNvPr>
          <xdr:cNvSpPr>
            <a:spLocks noChangeShapeType="1"/>
          </xdr:cNvSpPr>
        </xdr:nvSpPr>
        <xdr:spPr bwMode="auto">
          <a:xfrm>
            <a:off x="3780" y="3264"/>
            <a:ext cx="0" cy="180"/>
          </a:xfrm>
          <a:prstGeom prst="line">
            <a:avLst/>
          </a:prstGeom>
          <a:noFill/>
          <a:ln w="9525">
            <a:solidFill>
              <a:srgbClr val="000000"/>
            </a:solidFill>
            <a:round/>
            <a:headEnd/>
            <a:tailEnd/>
          </a:ln>
        </xdr:spPr>
      </xdr:sp>
      <xdr:sp macro="" textlink="">
        <xdr:nvSpPr>
          <xdr:cNvPr id="283" name="Line 787">
            <a:extLst>
              <a:ext uri="{FF2B5EF4-FFF2-40B4-BE49-F238E27FC236}">
                <a16:creationId xmlns:a16="http://schemas.microsoft.com/office/drawing/2014/main" id="{00000000-0008-0000-0000-00001B010000}"/>
              </a:ext>
            </a:extLst>
          </xdr:cNvPr>
          <xdr:cNvSpPr>
            <a:spLocks noChangeShapeType="1"/>
          </xdr:cNvSpPr>
        </xdr:nvSpPr>
        <xdr:spPr bwMode="auto">
          <a:xfrm>
            <a:off x="3780" y="3944"/>
            <a:ext cx="1" cy="180"/>
          </a:xfrm>
          <a:prstGeom prst="line">
            <a:avLst/>
          </a:prstGeom>
          <a:noFill/>
          <a:ln w="9525">
            <a:solidFill>
              <a:srgbClr val="000000"/>
            </a:solidFill>
            <a:round/>
            <a:headEnd/>
            <a:tailEnd/>
          </a:ln>
        </xdr:spPr>
      </xdr:sp>
      <xdr:sp macro="" textlink="">
        <xdr:nvSpPr>
          <xdr:cNvPr id="284" name="Line 788">
            <a:extLst>
              <a:ext uri="{FF2B5EF4-FFF2-40B4-BE49-F238E27FC236}">
                <a16:creationId xmlns:a16="http://schemas.microsoft.com/office/drawing/2014/main" id="{00000000-0008-0000-0000-00001C010000}"/>
              </a:ext>
            </a:extLst>
          </xdr:cNvPr>
          <xdr:cNvSpPr>
            <a:spLocks noChangeShapeType="1"/>
          </xdr:cNvSpPr>
        </xdr:nvSpPr>
        <xdr:spPr bwMode="auto">
          <a:xfrm>
            <a:off x="3780" y="3614"/>
            <a:ext cx="1" cy="180"/>
          </a:xfrm>
          <a:prstGeom prst="line">
            <a:avLst/>
          </a:prstGeom>
          <a:noFill/>
          <a:ln w="9525">
            <a:solidFill>
              <a:srgbClr val="000000"/>
            </a:solidFill>
            <a:round/>
            <a:headEnd/>
            <a:tailEnd/>
          </a:ln>
        </xdr:spPr>
      </xdr:sp>
      <xdr:sp macro="" textlink="">
        <xdr:nvSpPr>
          <xdr:cNvPr id="285" name="Line 789">
            <a:extLst>
              <a:ext uri="{FF2B5EF4-FFF2-40B4-BE49-F238E27FC236}">
                <a16:creationId xmlns:a16="http://schemas.microsoft.com/office/drawing/2014/main" id="{00000000-0008-0000-0000-00001D010000}"/>
              </a:ext>
            </a:extLst>
          </xdr:cNvPr>
          <xdr:cNvSpPr>
            <a:spLocks noChangeShapeType="1"/>
          </xdr:cNvSpPr>
        </xdr:nvSpPr>
        <xdr:spPr bwMode="auto">
          <a:xfrm rot="-5400000">
            <a:off x="3869" y="3625"/>
            <a:ext cx="1" cy="180"/>
          </a:xfrm>
          <a:prstGeom prst="line">
            <a:avLst/>
          </a:prstGeom>
          <a:noFill/>
          <a:ln w="9525">
            <a:solidFill>
              <a:srgbClr val="000000"/>
            </a:solidFill>
            <a:round/>
            <a:headEnd/>
            <a:tailEnd/>
          </a:ln>
        </xdr:spPr>
      </xdr:sp>
      <xdr:sp macro="" textlink="">
        <xdr:nvSpPr>
          <xdr:cNvPr id="286" name="Line 790">
            <a:extLst>
              <a:ext uri="{FF2B5EF4-FFF2-40B4-BE49-F238E27FC236}">
                <a16:creationId xmlns:a16="http://schemas.microsoft.com/office/drawing/2014/main" id="{00000000-0008-0000-0000-00001E010000}"/>
              </a:ext>
            </a:extLst>
          </xdr:cNvPr>
          <xdr:cNvSpPr>
            <a:spLocks noChangeShapeType="1"/>
          </xdr:cNvSpPr>
        </xdr:nvSpPr>
        <xdr:spPr bwMode="auto">
          <a:xfrm rot="-5400000">
            <a:off x="3869" y="3945"/>
            <a:ext cx="1" cy="180"/>
          </a:xfrm>
          <a:prstGeom prst="line">
            <a:avLst/>
          </a:prstGeom>
          <a:noFill/>
          <a:ln w="9525">
            <a:solidFill>
              <a:srgbClr val="000000"/>
            </a:solidFill>
            <a:round/>
            <a:headEnd/>
            <a:tailEnd/>
          </a:ln>
        </xdr:spPr>
      </xdr:sp>
      <xdr:sp macro="" textlink="">
        <xdr:nvSpPr>
          <xdr:cNvPr id="287" name="Line 791">
            <a:extLst>
              <a:ext uri="{FF2B5EF4-FFF2-40B4-BE49-F238E27FC236}">
                <a16:creationId xmlns:a16="http://schemas.microsoft.com/office/drawing/2014/main" id="{00000000-0008-0000-0000-00001F010000}"/>
              </a:ext>
            </a:extLst>
          </xdr:cNvPr>
          <xdr:cNvSpPr>
            <a:spLocks noChangeShapeType="1"/>
          </xdr:cNvSpPr>
        </xdr:nvSpPr>
        <xdr:spPr bwMode="auto">
          <a:xfrm rot="-5400000">
            <a:off x="3869" y="3255"/>
            <a:ext cx="1" cy="180"/>
          </a:xfrm>
          <a:prstGeom prst="line">
            <a:avLst/>
          </a:prstGeom>
          <a:noFill/>
          <a:ln w="9525">
            <a:solidFill>
              <a:srgbClr val="000000"/>
            </a:solidFill>
            <a:round/>
            <a:headEnd/>
            <a:tailEnd/>
          </a:ln>
        </xdr:spPr>
      </xdr:sp>
      <xdr:sp macro="" textlink="">
        <xdr:nvSpPr>
          <xdr:cNvPr id="288" name="Line 792">
            <a:extLst>
              <a:ext uri="{FF2B5EF4-FFF2-40B4-BE49-F238E27FC236}">
                <a16:creationId xmlns:a16="http://schemas.microsoft.com/office/drawing/2014/main" id="{00000000-0008-0000-0000-000020010000}"/>
              </a:ext>
            </a:extLst>
          </xdr:cNvPr>
          <xdr:cNvSpPr>
            <a:spLocks noChangeShapeType="1"/>
          </xdr:cNvSpPr>
        </xdr:nvSpPr>
        <xdr:spPr bwMode="auto">
          <a:xfrm>
            <a:off x="3980" y="3334"/>
            <a:ext cx="1" cy="900"/>
          </a:xfrm>
          <a:prstGeom prst="line">
            <a:avLst/>
          </a:prstGeom>
          <a:noFill/>
          <a:ln w="9525">
            <a:solidFill>
              <a:srgbClr val="000000"/>
            </a:solidFill>
            <a:round/>
            <a:headEnd/>
            <a:tailEnd/>
          </a:ln>
        </xdr:spPr>
      </xdr:sp>
      <xdr:sp macro="" textlink="">
        <xdr:nvSpPr>
          <xdr:cNvPr id="289" name="Line 793">
            <a:extLst>
              <a:ext uri="{FF2B5EF4-FFF2-40B4-BE49-F238E27FC236}">
                <a16:creationId xmlns:a16="http://schemas.microsoft.com/office/drawing/2014/main" id="{00000000-0008-0000-0000-000021010000}"/>
              </a:ext>
            </a:extLst>
          </xdr:cNvPr>
          <xdr:cNvSpPr>
            <a:spLocks noChangeShapeType="1"/>
          </xdr:cNvSpPr>
        </xdr:nvSpPr>
        <xdr:spPr bwMode="auto">
          <a:xfrm>
            <a:off x="3970" y="4834"/>
            <a:ext cx="360" cy="1"/>
          </a:xfrm>
          <a:prstGeom prst="line">
            <a:avLst/>
          </a:prstGeom>
          <a:noFill/>
          <a:ln w="9525">
            <a:solidFill>
              <a:srgbClr val="000000"/>
            </a:solidFill>
            <a:round/>
            <a:headEnd/>
            <a:tailEnd type="triangle" w="med" len="med"/>
          </a:ln>
        </xdr:spPr>
      </xdr:sp>
      <xdr:sp macro="" textlink="">
        <xdr:nvSpPr>
          <xdr:cNvPr id="290" name="Line 794">
            <a:extLst>
              <a:ext uri="{FF2B5EF4-FFF2-40B4-BE49-F238E27FC236}">
                <a16:creationId xmlns:a16="http://schemas.microsoft.com/office/drawing/2014/main" id="{00000000-0008-0000-0000-000022010000}"/>
              </a:ext>
            </a:extLst>
          </xdr:cNvPr>
          <xdr:cNvSpPr>
            <a:spLocks noChangeShapeType="1"/>
          </xdr:cNvSpPr>
        </xdr:nvSpPr>
        <xdr:spPr bwMode="auto">
          <a:xfrm>
            <a:off x="3980" y="4214"/>
            <a:ext cx="360" cy="1"/>
          </a:xfrm>
          <a:prstGeom prst="line">
            <a:avLst/>
          </a:prstGeom>
          <a:noFill/>
          <a:ln w="9525">
            <a:solidFill>
              <a:srgbClr val="000000"/>
            </a:solidFill>
            <a:round/>
            <a:headEnd/>
            <a:tailEnd type="triangle" w="med" len="med"/>
          </a:ln>
        </xdr:spPr>
      </xdr:sp>
      <xdr:sp macro="" textlink="">
        <xdr:nvSpPr>
          <xdr:cNvPr id="291" name="Line 795">
            <a:extLst>
              <a:ext uri="{FF2B5EF4-FFF2-40B4-BE49-F238E27FC236}">
                <a16:creationId xmlns:a16="http://schemas.microsoft.com/office/drawing/2014/main" id="{00000000-0008-0000-0000-000023010000}"/>
              </a:ext>
            </a:extLst>
          </xdr:cNvPr>
          <xdr:cNvSpPr>
            <a:spLocks noChangeShapeType="1"/>
          </xdr:cNvSpPr>
        </xdr:nvSpPr>
        <xdr:spPr bwMode="auto">
          <a:xfrm>
            <a:off x="3420" y="4524"/>
            <a:ext cx="900" cy="0"/>
          </a:xfrm>
          <a:prstGeom prst="line">
            <a:avLst/>
          </a:prstGeom>
          <a:noFill/>
          <a:ln w="9525">
            <a:solidFill>
              <a:srgbClr val="000000"/>
            </a:solidFill>
            <a:round/>
            <a:headEnd/>
            <a:tailEnd/>
          </a:ln>
        </xdr:spPr>
      </xdr:sp>
      <xdr:sp macro="" textlink="">
        <xdr:nvSpPr>
          <xdr:cNvPr id="292" name="Line 796">
            <a:extLst>
              <a:ext uri="{FF2B5EF4-FFF2-40B4-BE49-F238E27FC236}">
                <a16:creationId xmlns:a16="http://schemas.microsoft.com/office/drawing/2014/main" id="{00000000-0008-0000-0000-000024010000}"/>
              </a:ext>
            </a:extLst>
          </xdr:cNvPr>
          <xdr:cNvSpPr>
            <a:spLocks noChangeShapeType="1"/>
          </xdr:cNvSpPr>
        </xdr:nvSpPr>
        <xdr:spPr bwMode="auto">
          <a:xfrm>
            <a:off x="4860" y="4224"/>
            <a:ext cx="1" cy="180"/>
          </a:xfrm>
          <a:prstGeom prst="line">
            <a:avLst/>
          </a:prstGeom>
          <a:noFill/>
          <a:ln w="9525">
            <a:solidFill>
              <a:srgbClr val="000000"/>
            </a:solidFill>
            <a:round/>
            <a:headEnd/>
            <a:tailEnd/>
          </a:ln>
        </xdr:spPr>
      </xdr:sp>
      <xdr:sp macro="" textlink="">
        <xdr:nvSpPr>
          <xdr:cNvPr id="293" name="Line 797">
            <a:extLst>
              <a:ext uri="{FF2B5EF4-FFF2-40B4-BE49-F238E27FC236}">
                <a16:creationId xmlns:a16="http://schemas.microsoft.com/office/drawing/2014/main" id="{00000000-0008-0000-0000-000025010000}"/>
              </a:ext>
            </a:extLst>
          </xdr:cNvPr>
          <xdr:cNvSpPr>
            <a:spLocks noChangeShapeType="1"/>
          </xdr:cNvSpPr>
        </xdr:nvSpPr>
        <xdr:spPr bwMode="auto">
          <a:xfrm flipH="1">
            <a:off x="4320" y="4834"/>
            <a:ext cx="540" cy="1"/>
          </a:xfrm>
          <a:prstGeom prst="line">
            <a:avLst/>
          </a:prstGeom>
          <a:noFill/>
          <a:ln w="9525">
            <a:solidFill>
              <a:srgbClr val="000000"/>
            </a:solidFill>
            <a:round/>
            <a:headEnd/>
            <a:tailEnd type="triangle" w="med" len="med"/>
          </a:ln>
        </xdr:spPr>
      </xdr:sp>
      <xdr:sp macro="" textlink="">
        <xdr:nvSpPr>
          <xdr:cNvPr id="294" name="Line 798">
            <a:extLst>
              <a:ext uri="{FF2B5EF4-FFF2-40B4-BE49-F238E27FC236}">
                <a16:creationId xmlns:a16="http://schemas.microsoft.com/office/drawing/2014/main" id="{00000000-0008-0000-0000-000026010000}"/>
              </a:ext>
            </a:extLst>
          </xdr:cNvPr>
          <xdr:cNvSpPr>
            <a:spLocks noChangeShapeType="1"/>
          </xdr:cNvSpPr>
        </xdr:nvSpPr>
        <xdr:spPr bwMode="auto">
          <a:xfrm flipH="1">
            <a:off x="4340" y="4214"/>
            <a:ext cx="540" cy="1"/>
          </a:xfrm>
          <a:prstGeom prst="line">
            <a:avLst/>
          </a:prstGeom>
          <a:noFill/>
          <a:ln w="9525">
            <a:solidFill>
              <a:srgbClr val="000000"/>
            </a:solidFill>
            <a:round/>
            <a:headEnd/>
            <a:tailEnd type="triangle" w="med" len="med"/>
          </a:ln>
        </xdr:spPr>
      </xdr:sp>
      <xdr:sp macro="" textlink="">
        <xdr:nvSpPr>
          <xdr:cNvPr id="295" name="Line 799">
            <a:extLst>
              <a:ext uri="{FF2B5EF4-FFF2-40B4-BE49-F238E27FC236}">
                <a16:creationId xmlns:a16="http://schemas.microsoft.com/office/drawing/2014/main" id="{00000000-0008-0000-0000-000027010000}"/>
              </a:ext>
            </a:extLst>
          </xdr:cNvPr>
          <xdr:cNvSpPr>
            <a:spLocks noChangeShapeType="1"/>
          </xdr:cNvSpPr>
        </xdr:nvSpPr>
        <xdr:spPr bwMode="auto">
          <a:xfrm rot="-2590902">
            <a:off x="4800" y="4474"/>
            <a:ext cx="1" cy="180"/>
          </a:xfrm>
          <a:prstGeom prst="line">
            <a:avLst/>
          </a:prstGeom>
          <a:noFill/>
          <a:ln w="9525">
            <a:solidFill>
              <a:srgbClr val="000000"/>
            </a:solidFill>
            <a:round/>
            <a:headEnd/>
            <a:tailEnd/>
          </a:ln>
        </xdr:spPr>
      </xdr:sp>
      <xdr:sp macro="" textlink="">
        <xdr:nvSpPr>
          <xdr:cNvPr id="296" name="Line 800">
            <a:extLst>
              <a:ext uri="{FF2B5EF4-FFF2-40B4-BE49-F238E27FC236}">
                <a16:creationId xmlns:a16="http://schemas.microsoft.com/office/drawing/2014/main" id="{00000000-0008-0000-0000-000028010000}"/>
              </a:ext>
            </a:extLst>
          </xdr:cNvPr>
          <xdr:cNvSpPr>
            <a:spLocks noChangeShapeType="1"/>
          </xdr:cNvSpPr>
        </xdr:nvSpPr>
        <xdr:spPr bwMode="auto">
          <a:xfrm>
            <a:off x="4860" y="4634"/>
            <a:ext cx="1" cy="180"/>
          </a:xfrm>
          <a:prstGeom prst="line">
            <a:avLst/>
          </a:prstGeom>
          <a:noFill/>
          <a:ln w="9525">
            <a:solidFill>
              <a:srgbClr val="000000"/>
            </a:solidFill>
            <a:round/>
            <a:headEnd/>
            <a:tailEnd/>
          </a:ln>
        </xdr:spPr>
      </xdr:sp>
      <xdr:sp macro="" textlink="">
        <xdr:nvSpPr>
          <xdr:cNvPr id="297" name="Line 801">
            <a:extLst>
              <a:ext uri="{FF2B5EF4-FFF2-40B4-BE49-F238E27FC236}">
                <a16:creationId xmlns:a16="http://schemas.microsoft.com/office/drawing/2014/main" id="{00000000-0008-0000-0000-000029010000}"/>
              </a:ext>
            </a:extLst>
          </xdr:cNvPr>
          <xdr:cNvSpPr>
            <a:spLocks noChangeShapeType="1"/>
          </xdr:cNvSpPr>
        </xdr:nvSpPr>
        <xdr:spPr bwMode="auto">
          <a:xfrm rot="1679829">
            <a:off x="4870" y="4324"/>
            <a:ext cx="1" cy="180"/>
          </a:xfrm>
          <a:prstGeom prst="line">
            <a:avLst/>
          </a:prstGeom>
          <a:noFill/>
          <a:ln w="9525">
            <a:solidFill>
              <a:srgbClr val="000000"/>
            </a:solidFill>
            <a:round/>
            <a:headEnd/>
            <a:tailEnd/>
          </a:ln>
        </xdr:spPr>
      </xdr:sp>
      <xdr:sp macro="" textlink="">
        <xdr:nvSpPr>
          <xdr:cNvPr id="298" name="Line 802">
            <a:extLst>
              <a:ext uri="{FF2B5EF4-FFF2-40B4-BE49-F238E27FC236}">
                <a16:creationId xmlns:a16="http://schemas.microsoft.com/office/drawing/2014/main" id="{00000000-0008-0000-0000-00002A010000}"/>
              </a:ext>
            </a:extLst>
          </xdr:cNvPr>
          <xdr:cNvSpPr>
            <a:spLocks noChangeShapeType="1"/>
          </xdr:cNvSpPr>
        </xdr:nvSpPr>
        <xdr:spPr bwMode="auto">
          <a:xfrm rot="-3720171">
            <a:off x="4850" y="4325"/>
            <a:ext cx="1" cy="180"/>
          </a:xfrm>
          <a:prstGeom prst="line">
            <a:avLst/>
          </a:prstGeom>
          <a:noFill/>
          <a:ln w="9525">
            <a:solidFill>
              <a:srgbClr val="000000"/>
            </a:solidFill>
            <a:round/>
            <a:headEnd/>
            <a:tailEnd/>
          </a:ln>
        </xdr:spPr>
      </xdr:sp>
      <xdr:sp macro="" textlink="">
        <xdr:nvSpPr>
          <xdr:cNvPr id="299" name="Line 803">
            <a:extLst>
              <a:ext uri="{FF2B5EF4-FFF2-40B4-BE49-F238E27FC236}">
                <a16:creationId xmlns:a16="http://schemas.microsoft.com/office/drawing/2014/main" id="{00000000-0008-0000-0000-00002B010000}"/>
              </a:ext>
            </a:extLst>
          </xdr:cNvPr>
          <xdr:cNvSpPr>
            <a:spLocks noChangeShapeType="1"/>
          </xdr:cNvSpPr>
        </xdr:nvSpPr>
        <xdr:spPr bwMode="auto">
          <a:xfrm>
            <a:off x="3960" y="4844"/>
            <a:ext cx="1" cy="900"/>
          </a:xfrm>
          <a:prstGeom prst="line">
            <a:avLst/>
          </a:prstGeom>
          <a:noFill/>
          <a:ln w="9525">
            <a:solidFill>
              <a:srgbClr val="000000"/>
            </a:solidFill>
            <a:round/>
            <a:headEnd/>
            <a:tailEnd type="triangle" w="med" len="med"/>
          </a:ln>
        </xdr:spPr>
      </xdr:sp>
      <xdr:sp macro="" textlink="">
        <xdr:nvSpPr>
          <xdr:cNvPr id="300" name="Oval 804">
            <a:extLst>
              <a:ext uri="{FF2B5EF4-FFF2-40B4-BE49-F238E27FC236}">
                <a16:creationId xmlns:a16="http://schemas.microsoft.com/office/drawing/2014/main" id="{00000000-0008-0000-0000-00002C010000}"/>
              </a:ext>
            </a:extLst>
          </xdr:cNvPr>
          <xdr:cNvSpPr>
            <a:spLocks noChangeArrowheads="1"/>
          </xdr:cNvSpPr>
        </xdr:nvSpPr>
        <xdr:spPr bwMode="auto">
          <a:xfrm>
            <a:off x="3870" y="5204"/>
            <a:ext cx="180" cy="180"/>
          </a:xfrm>
          <a:prstGeom prst="ellipse">
            <a:avLst/>
          </a:prstGeom>
          <a:noFill/>
          <a:ln w="9525">
            <a:solidFill>
              <a:srgbClr val="000000"/>
            </a:solidFill>
            <a:round/>
            <a:headEnd/>
            <a:tailEnd/>
          </a:ln>
        </xdr:spPr>
      </xdr:sp>
      <xdr:sp macro="" textlink="">
        <xdr:nvSpPr>
          <xdr:cNvPr id="301" name="Text Box 805">
            <a:extLst>
              <a:ext uri="{FF2B5EF4-FFF2-40B4-BE49-F238E27FC236}">
                <a16:creationId xmlns:a16="http://schemas.microsoft.com/office/drawing/2014/main" id="{00000000-0008-0000-0000-00002D010000}"/>
              </a:ext>
            </a:extLst>
          </xdr:cNvPr>
          <xdr:cNvSpPr txBox="1">
            <a:spLocks noChangeArrowheads="1"/>
          </xdr:cNvSpPr>
        </xdr:nvSpPr>
        <xdr:spPr bwMode="auto">
          <a:xfrm>
            <a:off x="3959" y="3016"/>
            <a:ext cx="537" cy="355"/>
          </a:xfrm>
          <a:prstGeom prst="rect">
            <a:avLst/>
          </a:prstGeom>
          <a:noFill/>
          <a:ln w="9525">
            <a:noFill/>
            <a:miter lim="800000"/>
            <a:headEnd/>
            <a:tailEnd/>
          </a:ln>
        </xdr:spPr>
        <xdr:txBody>
          <a:bodyPr vertOverflow="clip" wrap="square" lIns="91440" tIns="45720" rIns="91440" bIns="45720" anchor="t" upright="1"/>
          <a:lstStyle/>
          <a:p>
            <a:pPr algn="l" rtl="0">
              <a:defRPr sz="1000"/>
            </a:pPr>
            <a:r>
              <a:rPr lang="en-US" sz="1000" b="0" i="0" u="none" strike="noStrike" baseline="0">
                <a:solidFill>
                  <a:srgbClr val="000000"/>
                </a:solidFill>
                <a:latin typeface="Times New Roman"/>
                <a:cs typeface="Times New Roman"/>
              </a:rPr>
              <a:t>A</a:t>
            </a:r>
          </a:p>
          <a:p>
            <a:pPr algn="l" rtl="0">
              <a:defRPr sz="1000"/>
            </a:pPr>
            <a:endParaRPr lang="en-US" sz="1000" b="0" i="0" u="none" strike="noStrike" baseline="0">
              <a:solidFill>
                <a:srgbClr val="000000"/>
              </a:solidFill>
              <a:latin typeface="Times New Roman"/>
              <a:cs typeface="Times New Roman"/>
            </a:endParaRPr>
          </a:p>
        </xdr:txBody>
      </xdr:sp>
      <xdr:sp macro="" textlink="">
        <xdr:nvSpPr>
          <xdr:cNvPr id="302" name="Text Box 806">
            <a:extLst>
              <a:ext uri="{FF2B5EF4-FFF2-40B4-BE49-F238E27FC236}">
                <a16:creationId xmlns:a16="http://schemas.microsoft.com/office/drawing/2014/main" id="{00000000-0008-0000-0000-00002E010000}"/>
              </a:ext>
            </a:extLst>
          </xdr:cNvPr>
          <xdr:cNvSpPr txBox="1">
            <a:spLocks noChangeArrowheads="1"/>
          </xdr:cNvSpPr>
        </xdr:nvSpPr>
        <xdr:spPr bwMode="auto">
          <a:xfrm>
            <a:off x="4864" y="4353"/>
            <a:ext cx="537" cy="355"/>
          </a:xfrm>
          <a:prstGeom prst="rect">
            <a:avLst/>
          </a:prstGeom>
          <a:noFill/>
          <a:ln w="9525">
            <a:noFill/>
            <a:miter lim="800000"/>
            <a:headEnd/>
            <a:tailEnd/>
          </a:ln>
        </xdr:spPr>
        <xdr:txBody>
          <a:bodyPr vertOverflow="clip" wrap="square" lIns="91440" tIns="45720" rIns="91440" bIns="45720" anchor="t" upright="1"/>
          <a:lstStyle/>
          <a:p>
            <a:pPr algn="l" rtl="0">
              <a:defRPr sz="1000"/>
            </a:pPr>
            <a:r>
              <a:rPr lang="en-US" sz="1000" b="0" i="0" u="none" strike="noStrike" baseline="0">
                <a:solidFill>
                  <a:srgbClr val="000000"/>
                </a:solidFill>
                <a:latin typeface="Times New Roman"/>
                <a:cs typeface="Times New Roman"/>
              </a:rPr>
              <a:t>B</a:t>
            </a:r>
          </a:p>
          <a:p>
            <a:pPr algn="l" rtl="0">
              <a:defRPr sz="1000"/>
            </a:pPr>
            <a:endParaRPr lang="en-US" sz="1000" b="0" i="0" u="none" strike="noStrike" baseline="0">
              <a:solidFill>
                <a:srgbClr val="000000"/>
              </a:solidFill>
              <a:latin typeface="Times New Roman"/>
              <a:cs typeface="Times New Roman"/>
            </a:endParaRPr>
          </a:p>
        </xdr:txBody>
      </xdr:sp>
      <xdr:sp macro="" textlink="">
        <xdr:nvSpPr>
          <xdr:cNvPr id="303" name="Text Box 807">
            <a:extLst>
              <a:ext uri="{FF2B5EF4-FFF2-40B4-BE49-F238E27FC236}">
                <a16:creationId xmlns:a16="http://schemas.microsoft.com/office/drawing/2014/main" id="{00000000-0008-0000-0000-00002F010000}"/>
              </a:ext>
            </a:extLst>
          </xdr:cNvPr>
          <xdr:cNvSpPr txBox="1">
            <a:spLocks noChangeArrowheads="1"/>
          </xdr:cNvSpPr>
        </xdr:nvSpPr>
        <xdr:spPr bwMode="auto">
          <a:xfrm>
            <a:off x="3943" y="5251"/>
            <a:ext cx="537" cy="355"/>
          </a:xfrm>
          <a:prstGeom prst="rect">
            <a:avLst/>
          </a:prstGeom>
          <a:noFill/>
          <a:ln w="9525">
            <a:noFill/>
            <a:miter lim="800000"/>
            <a:headEnd/>
            <a:tailEnd/>
          </a:ln>
        </xdr:spPr>
        <xdr:txBody>
          <a:bodyPr vertOverflow="clip" wrap="square" lIns="91440" tIns="45720" rIns="91440" bIns="45720" anchor="t" upright="1"/>
          <a:lstStyle/>
          <a:p>
            <a:pPr algn="l" rtl="0">
              <a:defRPr sz="1000"/>
            </a:pPr>
            <a:r>
              <a:rPr lang="en-US" sz="1000" b="0" i="0" u="none" strike="noStrike" baseline="0">
                <a:solidFill>
                  <a:srgbClr val="000000"/>
                </a:solidFill>
                <a:latin typeface="Times New Roman"/>
                <a:cs typeface="Times New Roman"/>
              </a:rPr>
              <a:t>CA</a:t>
            </a:r>
          </a:p>
          <a:p>
            <a:pPr algn="l" rtl="0">
              <a:defRPr sz="1000"/>
            </a:pPr>
            <a:endParaRPr lang="en-US" sz="1000" b="0" i="0" u="none" strike="noStrike" baseline="0">
              <a:solidFill>
                <a:srgbClr val="000000"/>
              </a:solidFill>
              <a:latin typeface="Times New Roman"/>
              <a:cs typeface="Times New Roman"/>
            </a:endParaRPr>
          </a:p>
        </xdr:txBody>
      </xdr:sp>
      <xdr:sp macro="" textlink="">
        <xdr:nvSpPr>
          <xdr:cNvPr id="304" name="Text Box 808">
            <a:extLst>
              <a:ext uri="{FF2B5EF4-FFF2-40B4-BE49-F238E27FC236}">
                <a16:creationId xmlns:a16="http://schemas.microsoft.com/office/drawing/2014/main" id="{00000000-0008-0000-0000-000030010000}"/>
              </a:ext>
            </a:extLst>
          </xdr:cNvPr>
          <xdr:cNvSpPr txBox="1">
            <a:spLocks noChangeArrowheads="1"/>
          </xdr:cNvSpPr>
        </xdr:nvSpPr>
        <xdr:spPr bwMode="auto">
          <a:xfrm>
            <a:off x="2792" y="3204"/>
            <a:ext cx="537" cy="376"/>
          </a:xfrm>
          <a:prstGeom prst="rect">
            <a:avLst/>
          </a:prstGeom>
          <a:noFill/>
          <a:ln w="9525">
            <a:noFill/>
            <a:miter lim="800000"/>
            <a:headEnd/>
            <a:tailEnd/>
          </a:ln>
        </xdr:spPr>
        <xdr:txBody>
          <a:bodyPr vertOverflow="clip" wrap="square" lIns="91440" tIns="45720" rIns="91440" bIns="45720" anchor="t" upright="1"/>
          <a:lstStyle/>
          <a:p>
            <a:pPr algn="l" rtl="0">
              <a:defRPr sz="1000"/>
            </a:pPr>
            <a:r>
              <a:rPr lang="en-US" sz="1000" b="0" i="0" u="none" strike="noStrike" baseline="0">
                <a:solidFill>
                  <a:srgbClr val="000000"/>
                </a:solidFill>
                <a:latin typeface="Times New Roman"/>
                <a:cs typeface="Times New Roman"/>
              </a:rPr>
              <a:t>1</a:t>
            </a:r>
          </a:p>
          <a:p>
            <a:pPr algn="l" rtl="0">
              <a:defRPr sz="1000"/>
            </a:pPr>
            <a:endParaRPr lang="en-US" sz="1000" b="0" i="0" u="none" strike="noStrike" baseline="0">
              <a:solidFill>
                <a:srgbClr val="000000"/>
              </a:solidFill>
              <a:latin typeface="Times New Roman"/>
              <a:cs typeface="Times New Roman"/>
            </a:endParaRPr>
          </a:p>
        </xdr:txBody>
      </xdr:sp>
      <xdr:sp macro="" textlink="">
        <xdr:nvSpPr>
          <xdr:cNvPr id="305" name="Text Box 809">
            <a:extLst>
              <a:ext uri="{FF2B5EF4-FFF2-40B4-BE49-F238E27FC236}">
                <a16:creationId xmlns:a16="http://schemas.microsoft.com/office/drawing/2014/main" id="{00000000-0008-0000-0000-000031010000}"/>
              </a:ext>
            </a:extLst>
          </xdr:cNvPr>
          <xdr:cNvSpPr txBox="1">
            <a:spLocks noChangeArrowheads="1"/>
          </xdr:cNvSpPr>
        </xdr:nvSpPr>
        <xdr:spPr bwMode="auto">
          <a:xfrm>
            <a:off x="5617" y="5084"/>
            <a:ext cx="537" cy="355"/>
          </a:xfrm>
          <a:prstGeom prst="rect">
            <a:avLst/>
          </a:prstGeom>
          <a:noFill/>
          <a:ln w="9525">
            <a:noFill/>
            <a:miter lim="800000"/>
            <a:headEnd/>
            <a:tailEnd/>
          </a:ln>
        </xdr:spPr>
        <xdr:txBody>
          <a:bodyPr vertOverflow="clip" wrap="square" lIns="91440" tIns="45720" rIns="91440" bIns="45720" anchor="t" upright="1"/>
          <a:lstStyle/>
          <a:p>
            <a:pPr algn="l" rtl="0">
              <a:defRPr sz="1000"/>
            </a:pPr>
            <a:r>
              <a:rPr lang="en-US" sz="1000" b="0" i="0" u="none" strike="noStrike" baseline="0">
                <a:solidFill>
                  <a:srgbClr val="000000"/>
                </a:solidFill>
                <a:latin typeface="Times New Roman"/>
                <a:cs typeface="Times New Roman"/>
              </a:rPr>
              <a:t>2</a:t>
            </a:r>
          </a:p>
          <a:p>
            <a:pPr algn="l" rtl="0">
              <a:defRPr sz="1000"/>
            </a:pPr>
            <a:endParaRPr lang="en-US" sz="1000" b="0" i="0" u="none" strike="noStrike" baseline="0">
              <a:solidFill>
                <a:srgbClr val="000000"/>
              </a:solidFill>
              <a:latin typeface="Times New Roman"/>
              <a:cs typeface="Times New Roman"/>
            </a:endParaRPr>
          </a:p>
        </xdr:txBody>
      </xdr:sp>
      <xdr:sp macro="" textlink="">
        <xdr:nvSpPr>
          <xdr:cNvPr id="306" name="Text Box 810">
            <a:extLst>
              <a:ext uri="{FF2B5EF4-FFF2-40B4-BE49-F238E27FC236}">
                <a16:creationId xmlns:a16="http://schemas.microsoft.com/office/drawing/2014/main" id="{00000000-0008-0000-0000-000032010000}"/>
              </a:ext>
            </a:extLst>
          </xdr:cNvPr>
          <xdr:cNvSpPr txBox="1">
            <a:spLocks noChangeArrowheads="1"/>
          </xdr:cNvSpPr>
        </xdr:nvSpPr>
        <xdr:spPr bwMode="auto">
          <a:xfrm>
            <a:off x="2807" y="4854"/>
            <a:ext cx="537" cy="376"/>
          </a:xfrm>
          <a:prstGeom prst="rect">
            <a:avLst/>
          </a:prstGeom>
          <a:noFill/>
          <a:ln w="9525">
            <a:noFill/>
            <a:miter lim="800000"/>
            <a:headEnd/>
            <a:tailEnd/>
          </a:ln>
        </xdr:spPr>
        <xdr:txBody>
          <a:bodyPr vertOverflow="clip" wrap="square" lIns="91440" tIns="45720" rIns="91440" bIns="45720" anchor="t" upright="1"/>
          <a:lstStyle/>
          <a:p>
            <a:pPr algn="l" rtl="0">
              <a:defRPr sz="1000"/>
            </a:pPr>
            <a:r>
              <a:rPr lang="en-US" sz="1000" b="0" i="0" u="none" strike="noStrike" baseline="0">
                <a:solidFill>
                  <a:srgbClr val="000000"/>
                </a:solidFill>
                <a:latin typeface="Times New Roman"/>
                <a:cs typeface="Times New Roman"/>
              </a:rPr>
              <a:t>3</a:t>
            </a:r>
          </a:p>
          <a:p>
            <a:pPr algn="l" rtl="0">
              <a:defRPr sz="1000"/>
            </a:pPr>
            <a:endParaRPr lang="en-US" sz="1000" b="0" i="0" u="none" strike="noStrike" baseline="0">
              <a:solidFill>
                <a:srgbClr val="000000"/>
              </a:solidFill>
              <a:latin typeface="Times New Roman"/>
              <a:cs typeface="Times New Roman"/>
            </a:endParaRPr>
          </a:p>
        </xdr:txBody>
      </xdr:sp>
      <xdr:sp macro="" textlink="">
        <xdr:nvSpPr>
          <xdr:cNvPr id="307" name="Text Box 811">
            <a:extLst>
              <a:ext uri="{FF2B5EF4-FFF2-40B4-BE49-F238E27FC236}">
                <a16:creationId xmlns:a16="http://schemas.microsoft.com/office/drawing/2014/main" id="{00000000-0008-0000-0000-000033010000}"/>
              </a:ext>
            </a:extLst>
          </xdr:cNvPr>
          <xdr:cNvSpPr txBox="1">
            <a:spLocks noChangeArrowheads="1"/>
          </xdr:cNvSpPr>
        </xdr:nvSpPr>
        <xdr:spPr bwMode="auto">
          <a:xfrm>
            <a:off x="5663" y="2975"/>
            <a:ext cx="537" cy="355"/>
          </a:xfrm>
          <a:prstGeom prst="rect">
            <a:avLst/>
          </a:prstGeom>
          <a:noFill/>
          <a:ln w="9525">
            <a:noFill/>
            <a:miter lim="800000"/>
            <a:headEnd/>
            <a:tailEnd/>
          </a:ln>
        </xdr:spPr>
        <xdr:txBody>
          <a:bodyPr vertOverflow="clip" wrap="square" lIns="91440" tIns="45720" rIns="91440" bIns="45720" anchor="t" upright="1"/>
          <a:lstStyle/>
          <a:p>
            <a:pPr algn="l" rtl="0">
              <a:defRPr sz="1000"/>
            </a:pPr>
            <a:r>
              <a:rPr lang="en-US" sz="1000" b="0" i="0" u="none" strike="noStrike" baseline="0">
                <a:solidFill>
                  <a:srgbClr val="000000"/>
                </a:solidFill>
                <a:latin typeface="Times New Roman"/>
                <a:cs typeface="Times New Roman"/>
              </a:rPr>
              <a:t>4</a:t>
            </a:r>
          </a:p>
          <a:p>
            <a:pPr algn="l" rtl="0">
              <a:defRPr sz="1000"/>
            </a:pPr>
            <a:endParaRPr lang="en-US" sz="1000" b="0" i="0" u="none" strike="noStrike" baseline="0">
              <a:solidFill>
                <a:srgbClr val="000000"/>
              </a:solidFill>
              <a:latin typeface="Times New Roman"/>
              <a:cs typeface="Times New Roman"/>
            </a:endParaRPr>
          </a:p>
        </xdr:txBody>
      </xdr:sp>
      <xdr:sp macro="" textlink="">
        <xdr:nvSpPr>
          <xdr:cNvPr id="308" name="Line 812">
            <a:extLst>
              <a:ext uri="{FF2B5EF4-FFF2-40B4-BE49-F238E27FC236}">
                <a16:creationId xmlns:a16="http://schemas.microsoft.com/office/drawing/2014/main" id="{00000000-0008-0000-0000-000034010000}"/>
              </a:ext>
            </a:extLst>
          </xdr:cNvPr>
          <xdr:cNvSpPr>
            <a:spLocks noChangeShapeType="1"/>
          </xdr:cNvSpPr>
        </xdr:nvSpPr>
        <xdr:spPr bwMode="auto">
          <a:xfrm>
            <a:off x="4320" y="3864"/>
            <a:ext cx="1080" cy="1"/>
          </a:xfrm>
          <a:prstGeom prst="line">
            <a:avLst/>
          </a:prstGeom>
          <a:noFill/>
          <a:ln w="9525">
            <a:solidFill>
              <a:srgbClr val="000000"/>
            </a:solidFill>
            <a:round/>
            <a:headEnd/>
            <a:tailEnd/>
          </a:ln>
        </xdr:spPr>
      </xdr:sp>
      <xdr:sp macro="" textlink="">
        <xdr:nvSpPr>
          <xdr:cNvPr id="309" name="Line 813">
            <a:extLst>
              <a:ext uri="{FF2B5EF4-FFF2-40B4-BE49-F238E27FC236}">
                <a16:creationId xmlns:a16="http://schemas.microsoft.com/office/drawing/2014/main" id="{00000000-0008-0000-0000-000035010000}"/>
              </a:ext>
            </a:extLst>
          </xdr:cNvPr>
          <xdr:cNvSpPr>
            <a:spLocks noChangeShapeType="1"/>
          </xdr:cNvSpPr>
        </xdr:nvSpPr>
        <xdr:spPr bwMode="auto">
          <a:xfrm flipV="1">
            <a:off x="5400" y="3194"/>
            <a:ext cx="360" cy="180"/>
          </a:xfrm>
          <a:prstGeom prst="line">
            <a:avLst/>
          </a:prstGeom>
          <a:noFill/>
          <a:ln w="9525">
            <a:solidFill>
              <a:srgbClr val="000000"/>
            </a:solidFill>
            <a:round/>
            <a:headEnd/>
            <a:tailEnd/>
          </a:ln>
        </xdr:spPr>
      </xdr:sp>
      <xdr:sp macro="" textlink="">
        <xdr:nvSpPr>
          <xdr:cNvPr id="310" name="Line 814">
            <a:extLst>
              <a:ext uri="{FF2B5EF4-FFF2-40B4-BE49-F238E27FC236}">
                <a16:creationId xmlns:a16="http://schemas.microsoft.com/office/drawing/2014/main" id="{00000000-0008-0000-0000-000036010000}"/>
              </a:ext>
            </a:extLst>
          </xdr:cNvPr>
          <xdr:cNvSpPr>
            <a:spLocks noChangeShapeType="1"/>
          </xdr:cNvSpPr>
        </xdr:nvSpPr>
        <xdr:spPr bwMode="auto">
          <a:xfrm>
            <a:off x="5400" y="5014"/>
            <a:ext cx="300" cy="230"/>
          </a:xfrm>
          <a:prstGeom prst="line">
            <a:avLst/>
          </a:prstGeom>
          <a:noFill/>
          <a:ln w="9525">
            <a:solidFill>
              <a:srgbClr val="000000"/>
            </a:solidFill>
            <a:round/>
            <a:headEnd/>
            <a:tailEnd/>
          </a:ln>
        </xdr:spPr>
      </xdr:sp>
      <xdr:sp macro="" textlink="">
        <xdr:nvSpPr>
          <xdr:cNvPr id="311" name="Line 815">
            <a:extLst>
              <a:ext uri="{FF2B5EF4-FFF2-40B4-BE49-F238E27FC236}">
                <a16:creationId xmlns:a16="http://schemas.microsoft.com/office/drawing/2014/main" id="{00000000-0008-0000-0000-000037010000}"/>
              </a:ext>
            </a:extLst>
          </xdr:cNvPr>
          <xdr:cNvSpPr>
            <a:spLocks noChangeShapeType="1"/>
          </xdr:cNvSpPr>
        </xdr:nvSpPr>
        <xdr:spPr bwMode="auto">
          <a:xfrm rot="5400000" flipV="1">
            <a:off x="3095" y="3409"/>
            <a:ext cx="290" cy="360"/>
          </a:xfrm>
          <a:prstGeom prst="line">
            <a:avLst/>
          </a:prstGeom>
          <a:noFill/>
          <a:ln w="9525">
            <a:solidFill>
              <a:srgbClr val="000000"/>
            </a:solidFill>
            <a:round/>
            <a:headEnd/>
            <a:tailEnd/>
          </a:ln>
        </xdr:spPr>
      </xdr:sp>
      <xdr:sp macro="" textlink="">
        <xdr:nvSpPr>
          <xdr:cNvPr id="312" name="Line 816">
            <a:extLst>
              <a:ext uri="{FF2B5EF4-FFF2-40B4-BE49-F238E27FC236}">
                <a16:creationId xmlns:a16="http://schemas.microsoft.com/office/drawing/2014/main" id="{00000000-0008-0000-0000-000038010000}"/>
              </a:ext>
            </a:extLst>
          </xdr:cNvPr>
          <xdr:cNvSpPr>
            <a:spLocks noChangeShapeType="1"/>
          </xdr:cNvSpPr>
        </xdr:nvSpPr>
        <xdr:spPr bwMode="auto">
          <a:xfrm rot="5400000" flipV="1">
            <a:off x="3105" y="5059"/>
            <a:ext cx="290" cy="360"/>
          </a:xfrm>
          <a:prstGeom prst="line">
            <a:avLst/>
          </a:prstGeom>
          <a:noFill/>
          <a:ln w="9525">
            <a:solidFill>
              <a:srgbClr val="000000"/>
            </a:solidFill>
            <a:round/>
            <a:headEnd/>
            <a:tailEnd/>
          </a:ln>
        </xdr:spPr>
      </xdr:sp>
      <xdr:sp macro="" textlink="">
        <xdr:nvSpPr>
          <xdr:cNvPr id="313" name="Line 817">
            <a:extLst>
              <a:ext uri="{FF2B5EF4-FFF2-40B4-BE49-F238E27FC236}">
                <a16:creationId xmlns:a16="http://schemas.microsoft.com/office/drawing/2014/main" id="{00000000-0008-0000-0000-000039010000}"/>
              </a:ext>
            </a:extLst>
          </xdr:cNvPr>
          <xdr:cNvSpPr>
            <a:spLocks noChangeShapeType="1"/>
          </xdr:cNvSpPr>
        </xdr:nvSpPr>
        <xdr:spPr bwMode="auto">
          <a:xfrm>
            <a:off x="4330" y="2904"/>
            <a:ext cx="1" cy="3060"/>
          </a:xfrm>
          <a:prstGeom prst="line">
            <a:avLst/>
          </a:prstGeom>
          <a:noFill/>
          <a:ln w="9525">
            <a:solidFill>
              <a:srgbClr val="000000"/>
            </a:solidFill>
            <a:round/>
            <a:headEnd/>
            <a:tailEnd/>
          </a:ln>
        </xdr:spPr>
      </xdr:sp>
    </xdr:grpSp>
    <xdr:clientData/>
  </xdr:twoCellAnchor>
  <xdr:twoCellAnchor>
    <xdr:from>
      <xdr:col>1</xdr:col>
      <xdr:colOff>552450</xdr:colOff>
      <xdr:row>172</xdr:row>
      <xdr:rowOff>590550</xdr:rowOff>
    </xdr:from>
    <xdr:to>
      <xdr:col>1</xdr:col>
      <xdr:colOff>552450</xdr:colOff>
      <xdr:row>172</xdr:row>
      <xdr:rowOff>704850</xdr:rowOff>
    </xdr:to>
    <xdr:sp macro="" textlink="">
      <xdr:nvSpPr>
        <xdr:cNvPr id="314" name="Line 409">
          <a:extLst>
            <a:ext uri="{FF2B5EF4-FFF2-40B4-BE49-F238E27FC236}">
              <a16:creationId xmlns:a16="http://schemas.microsoft.com/office/drawing/2014/main" id="{00000000-0008-0000-0000-00003A010000}"/>
            </a:ext>
          </a:extLst>
        </xdr:cNvPr>
        <xdr:cNvSpPr>
          <a:spLocks noChangeShapeType="1"/>
        </xdr:cNvSpPr>
      </xdr:nvSpPr>
      <xdr:spPr bwMode="auto">
        <a:xfrm rot="-8023077">
          <a:off x="2495550" y="108413550"/>
          <a:ext cx="114300" cy="0"/>
        </a:xfrm>
        <a:prstGeom prst="line">
          <a:avLst/>
        </a:prstGeom>
        <a:noFill/>
        <a:ln w="9525">
          <a:solidFill>
            <a:srgbClr val="000000"/>
          </a:solidFill>
          <a:round/>
          <a:headEnd/>
          <a:tailEnd/>
        </a:ln>
      </xdr:spPr>
    </xdr:sp>
    <xdr:clientData/>
  </xdr:twoCellAnchor>
  <xdr:twoCellAnchor>
    <xdr:from>
      <xdr:col>1</xdr:col>
      <xdr:colOff>190500</xdr:colOff>
      <xdr:row>172</xdr:row>
      <xdr:rowOff>438150</xdr:rowOff>
    </xdr:from>
    <xdr:to>
      <xdr:col>1</xdr:col>
      <xdr:colOff>190500</xdr:colOff>
      <xdr:row>172</xdr:row>
      <xdr:rowOff>552450</xdr:rowOff>
    </xdr:to>
    <xdr:sp macro="" textlink="">
      <xdr:nvSpPr>
        <xdr:cNvPr id="315" name="Line 411">
          <a:extLst>
            <a:ext uri="{FF2B5EF4-FFF2-40B4-BE49-F238E27FC236}">
              <a16:creationId xmlns:a16="http://schemas.microsoft.com/office/drawing/2014/main" id="{00000000-0008-0000-0000-00003B010000}"/>
            </a:ext>
          </a:extLst>
        </xdr:cNvPr>
        <xdr:cNvSpPr>
          <a:spLocks noChangeShapeType="1"/>
        </xdr:cNvSpPr>
      </xdr:nvSpPr>
      <xdr:spPr bwMode="auto">
        <a:xfrm rot="-8023077">
          <a:off x="2133600" y="108261150"/>
          <a:ext cx="114300" cy="0"/>
        </a:xfrm>
        <a:prstGeom prst="line">
          <a:avLst/>
        </a:prstGeom>
        <a:noFill/>
        <a:ln w="9525">
          <a:solidFill>
            <a:srgbClr val="000000"/>
          </a:solidFill>
          <a:round/>
          <a:headEnd/>
          <a:tailEnd/>
        </a:ln>
      </xdr:spPr>
    </xdr:sp>
    <xdr:clientData/>
  </xdr:twoCellAnchor>
  <xdr:twoCellAnchor>
    <xdr:from>
      <xdr:col>1</xdr:col>
      <xdr:colOff>895350</xdr:colOff>
      <xdr:row>172</xdr:row>
      <xdr:rowOff>438150</xdr:rowOff>
    </xdr:from>
    <xdr:to>
      <xdr:col>1</xdr:col>
      <xdr:colOff>895350</xdr:colOff>
      <xdr:row>172</xdr:row>
      <xdr:rowOff>552450</xdr:rowOff>
    </xdr:to>
    <xdr:sp macro="" textlink="">
      <xdr:nvSpPr>
        <xdr:cNvPr id="316" name="Line 413">
          <a:extLst>
            <a:ext uri="{FF2B5EF4-FFF2-40B4-BE49-F238E27FC236}">
              <a16:creationId xmlns:a16="http://schemas.microsoft.com/office/drawing/2014/main" id="{00000000-0008-0000-0000-00003C010000}"/>
            </a:ext>
          </a:extLst>
        </xdr:cNvPr>
        <xdr:cNvSpPr>
          <a:spLocks noChangeShapeType="1"/>
        </xdr:cNvSpPr>
      </xdr:nvSpPr>
      <xdr:spPr bwMode="auto">
        <a:xfrm rot="-8023077">
          <a:off x="2838450" y="108261150"/>
          <a:ext cx="114300" cy="0"/>
        </a:xfrm>
        <a:prstGeom prst="line">
          <a:avLst/>
        </a:prstGeom>
        <a:noFill/>
        <a:ln w="9525">
          <a:solidFill>
            <a:srgbClr val="000000"/>
          </a:solidFill>
          <a:round/>
          <a:headEnd/>
          <a:tailEnd/>
        </a:ln>
      </xdr:spPr>
    </xdr:sp>
    <xdr:clientData/>
  </xdr:twoCellAnchor>
  <xdr:twoCellAnchor>
    <xdr:from>
      <xdr:col>1</xdr:col>
      <xdr:colOff>1802130</xdr:colOff>
      <xdr:row>172</xdr:row>
      <xdr:rowOff>586740</xdr:rowOff>
    </xdr:from>
    <xdr:to>
      <xdr:col>1</xdr:col>
      <xdr:colOff>1802130</xdr:colOff>
      <xdr:row>172</xdr:row>
      <xdr:rowOff>701040</xdr:rowOff>
    </xdr:to>
    <xdr:sp macro="" textlink="">
      <xdr:nvSpPr>
        <xdr:cNvPr id="317" name="Line 415">
          <a:extLst>
            <a:ext uri="{FF2B5EF4-FFF2-40B4-BE49-F238E27FC236}">
              <a16:creationId xmlns:a16="http://schemas.microsoft.com/office/drawing/2014/main" id="{00000000-0008-0000-0000-00003D010000}"/>
            </a:ext>
          </a:extLst>
        </xdr:cNvPr>
        <xdr:cNvSpPr>
          <a:spLocks noChangeShapeType="1"/>
        </xdr:cNvSpPr>
      </xdr:nvSpPr>
      <xdr:spPr bwMode="auto">
        <a:xfrm rot="-8023077">
          <a:off x="2354580" y="107542965"/>
          <a:ext cx="114300" cy="0"/>
        </a:xfrm>
        <a:prstGeom prst="line">
          <a:avLst/>
        </a:prstGeom>
        <a:noFill/>
        <a:ln w="9525">
          <a:solidFill>
            <a:srgbClr val="000000"/>
          </a:solidFill>
          <a:round/>
          <a:headEnd/>
          <a:tailEnd/>
        </a:ln>
      </xdr:spPr>
    </xdr:sp>
    <xdr:clientData/>
  </xdr:twoCellAnchor>
  <xdr:twoCellAnchor>
    <xdr:from>
      <xdr:col>1</xdr:col>
      <xdr:colOff>1463040</xdr:colOff>
      <xdr:row>172</xdr:row>
      <xdr:rowOff>800100</xdr:rowOff>
    </xdr:from>
    <xdr:to>
      <xdr:col>1</xdr:col>
      <xdr:colOff>1463040</xdr:colOff>
      <xdr:row>172</xdr:row>
      <xdr:rowOff>914400</xdr:rowOff>
    </xdr:to>
    <xdr:sp macro="" textlink="">
      <xdr:nvSpPr>
        <xdr:cNvPr id="318" name="Line 417">
          <a:extLst>
            <a:ext uri="{FF2B5EF4-FFF2-40B4-BE49-F238E27FC236}">
              <a16:creationId xmlns:a16="http://schemas.microsoft.com/office/drawing/2014/main" id="{00000000-0008-0000-0000-00003E010000}"/>
            </a:ext>
          </a:extLst>
        </xdr:cNvPr>
        <xdr:cNvSpPr>
          <a:spLocks noChangeShapeType="1"/>
        </xdr:cNvSpPr>
      </xdr:nvSpPr>
      <xdr:spPr bwMode="auto">
        <a:xfrm rot="-8023077">
          <a:off x="2015490" y="107756325"/>
          <a:ext cx="114300" cy="0"/>
        </a:xfrm>
        <a:prstGeom prst="line">
          <a:avLst/>
        </a:prstGeom>
        <a:noFill/>
        <a:ln w="9525">
          <a:solidFill>
            <a:srgbClr val="000000"/>
          </a:solidFill>
          <a:round/>
          <a:headEnd/>
          <a:tailEnd/>
        </a:ln>
      </xdr:spPr>
    </xdr:sp>
    <xdr:clientData/>
  </xdr:twoCellAnchor>
  <xdr:twoCellAnchor>
    <xdr:from>
      <xdr:col>1</xdr:col>
      <xdr:colOff>2133600</xdr:colOff>
      <xdr:row>172</xdr:row>
      <xdr:rowOff>781050</xdr:rowOff>
    </xdr:from>
    <xdr:to>
      <xdr:col>1</xdr:col>
      <xdr:colOff>2133600</xdr:colOff>
      <xdr:row>172</xdr:row>
      <xdr:rowOff>895350</xdr:rowOff>
    </xdr:to>
    <xdr:sp macro="" textlink="">
      <xdr:nvSpPr>
        <xdr:cNvPr id="319" name="Line 419">
          <a:extLst>
            <a:ext uri="{FF2B5EF4-FFF2-40B4-BE49-F238E27FC236}">
              <a16:creationId xmlns:a16="http://schemas.microsoft.com/office/drawing/2014/main" id="{00000000-0008-0000-0000-00003F010000}"/>
            </a:ext>
          </a:extLst>
        </xdr:cNvPr>
        <xdr:cNvSpPr>
          <a:spLocks noChangeShapeType="1"/>
        </xdr:cNvSpPr>
      </xdr:nvSpPr>
      <xdr:spPr bwMode="auto">
        <a:xfrm rot="-8023077">
          <a:off x="4076700" y="108604050"/>
          <a:ext cx="114300" cy="0"/>
        </a:xfrm>
        <a:prstGeom prst="line">
          <a:avLst/>
        </a:prstGeom>
        <a:noFill/>
        <a:ln w="9525">
          <a:solidFill>
            <a:srgbClr val="000000"/>
          </a:solidFill>
          <a:round/>
          <a:headEnd/>
          <a:tailEnd/>
        </a:ln>
      </xdr:spPr>
    </xdr:sp>
    <xdr:clientData/>
  </xdr:twoCellAnchor>
  <xdr:twoCellAnchor>
    <xdr:from>
      <xdr:col>2</xdr:col>
      <xdr:colOff>419100</xdr:colOff>
      <xdr:row>30</xdr:row>
      <xdr:rowOff>142875</xdr:rowOff>
    </xdr:from>
    <xdr:to>
      <xdr:col>2</xdr:col>
      <xdr:colOff>1504950</xdr:colOff>
      <xdr:row>30</xdr:row>
      <xdr:rowOff>962025</xdr:rowOff>
    </xdr:to>
    <xdr:grpSp>
      <xdr:nvGrpSpPr>
        <xdr:cNvPr id="320" name="Group 319">
          <a:extLst>
            <a:ext uri="{FF2B5EF4-FFF2-40B4-BE49-F238E27FC236}">
              <a16:creationId xmlns:a16="http://schemas.microsoft.com/office/drawing/2014/main" id="{00000000-0008-0000-0000-000040010000}"/>
            </a:ext>
          </a:extLst>
        </xdr:cNvPr>
        <xdr:cNvGrpSpPr/>
      </xdr:nvGrpSpPr>
      <xdr:grpSpPr>
        <a:xfrm>
          <a:off x="3521529" y="16825232"/>
          <a:ext cx="1085850" cy="819150"/>
          <a:chOff x="5010150" y="14344650"/>
          <a:chExt cx="1085850" cy="752475"/>
        </a:xfrm>
      </xdr:grpSpPr>
      <xdr:sp macro="" textlink="">
        <xdr:nvSpPr>
          <xdr:cNvPr id="321" name="Line 431">
            <a:extLst>
              <a:ext uri="{FF2B5EF4-FFF2-40B4-BE49-F238E27FC236}">
                <a16:creationId xmlns:a16="http://schemas.microsoft.com/office/drawing/2014/main" id="{00000000-0008-0000-0000-000041010000}"/>
              </a:ext>
            </a:extLst>
          </xdr:cNvPr>
          <xdr:cNvSpPr>
            <a:spLocks noChangeShapeType="1"/>
          </xdr:cNvSpPr>
        </xdr:nvSpPr>
        <xdr:spPr bwMode="auto">
          <a:xfrm>
            <a:off x="5114925" y="14801850"/>
            <a:ext cx="228600" cy="9525"/>
          </a:xfrm>
          <a:prstGeom prst="line">
            <a:avLst/>
          </a:prstGeom>
          <a:noFill/>
          <a:ln w="9525">
            <a:solidFill>
              <a:srgbClr val="000000"/>
            </a:solidFill>
            <a:round/>
            <a:headEnd/>
            <a:tailEnd/>
          </a:ln>
        </xdr:spPr>
      </xdr:sp>
      <xdr:grpSp>
        <xdr:nvGrpSpPr>
          <xdr:cNvPr id="322" name="Group 602">
            <a:extLst>
              <a:ext uri="{FF2B5EF4-FFF2-40B4-BE49-F238E27FC236}">
                <a16:creationId xmlns:a16="http://schemas.microsoft.com/office/drawing/2014/main" id="{00000000-0008-0000-0000-000042010000}"/>
              </a:ext>
            </a:extLst>
          </xdr:cNvPr>
          <xdr:cNvGrpSpPr/>
        </xdr:nvGrpSpPr>
        <xdr:grpSpPr>
          <a:xfrm>
            <a:off x="5010150" y="14344650"/>
            <a:ext cx="1085850" cy="752475"/>
            <a:chOff x="5010150" y="14344650"/>
            <a:chExt cx="1085850" cy="752475"/>
          </a:xfrm>
        </xdr:grpSpPr>
        <xdr:sp macro="" textlink="">
          <xdr:nvSpPr>
            <xdr:cNvPr id="323" name="Line 428">
              <a:extLst>
                <a:ext uri="{FF2B5EF4-FFF2-40B4-BE49-F238E27FC236}">
                  <a16:creationId xmlns:a16="http://schemas.microsoft.com/office/drawing/2014/main" id="{00000000-0008-0000-0000-000043010000}"/>
                </a:ext>
              </a:extLst>
            </xdr:cNvPr>
            <xdr:cNvSpPr>
              <a:spLocks noChangeShapeType="1"/>
            </xdr:cNvSpPr>
          </xdr:nvSpPr>
          <xdr:spPr bwMode="auto">
            <a:xfrm>
              <a:off x="5943600" y="14449425"/>
              <a:ext cx="0" cy="342900"/>
            </a:xfrm>
            <a:prstGeom prst="line">
              <a:avLst/>
            </a:prstGeom>
            <a:noFill/>
            <a:ln w="9525">
              <a:solidFill>
                <a:srgbClr val="000000"/>
              </a:solidFill>
              <a:round/>
              <a:headEnd/>
              <a:tailEnd/>
            </a:ln>
          </xdr:spPr>
        </xdr:sp>
        <xdr:sp macro="" textlink="">
          <xdr:nvSpPr>
            <xdr:cNvPr id="324" name="Line 432">
              <a:extLst>
                <a:ext uri="{FF2B5EF4-FFF2-40B4-BE49-F238E27FC236}">
                  <a16:creationId xmlns:a16="http://schemas.microsoft.com/office/drawing/2014/main" id="{00000000-0008-0000-0000-000044010000}"/>
                </a:ext>
              </a:extLst>
            </xdr:cNvPr>
            <xdr:cNvSpPr>
              <a:spLocks noChangeShapeType="1"/>
            </xdr:cNvSpPr>
          </xdr:nvSpPr>
          <xdr:spPr bwMode="auto">
            <a:xfrm>
              <a:off x="5343525" y="14344650"/>
              <a:ext cx="0" cy="342900"/>
            </a:xfrm>
            <a:prstGeom prst="line">
              <a:avLst/>
            </a:prstGeom>
            <a:noFill/>
            <a:ln w="9525">
              <a:solidFill>
                <a:srgbClr val="000000"/>
              </a:solidFill>
              <a:round/>
              <a:headEnd/>
              <a:tailEnd/>
            </a:ln>
          </xdr:spPr>
        </xdr:sp>
        <xdr:grpSp>
          <xdr:nvGrpSpPr>
            <xdr:cNvPr id="325" name="Group 601">
              <a:extLst>
                <a:ext uri="{FF2B5EF4-FFF2-40B4-BE49-F238E27FC236}">
                  <a16:creationId xmlns:a16="http://schemas.microsoft.com/office/drawing/2014/main" id="{00000000-0008-0000-0000-000045010000}"/>
                </a:ext>
              </a:extLst>
            </xdr:cNvPr>
            <xdr:cNvGrpSpPr/>
          </xdr:nvGrpSpPr>
          <xdr:grpSpPr>
            <a:xfrm>
              <a:off x="5010150" y="14354175"/>
              <a:ext cx="1085850" cy="742950"/>
              <a:chOff x="5010150" y="14344650"/>
              <a:chExt cx="1085850" cy="742950"/>
            </a:xfrm>
          </xdr:grpSpPr>
          <xdr:sp macro="" textlink="">
            <xdr:nvSpPr>
              <xdr:cNvPr id="326" name="Line 422">
                <a:extLst>
                  <a:ext uri="{FF2B5EF4-FFF2-40B4-BE49-F238E27FC236}">
                    <a16:creationId xmlns:a16="http://schemas.microsoft.com/office/drawing/2014/main" id="{00000000-0008-0000-0000-000046010000}"/>
                  </a:ext>
                </a:extLst>
              </xdr:cNvPr>
              <xdr:cNvSpPr>
                <a:spLocks noChangeShapeType="1"/>
              </xdr:cNvSpPr>
            </xdr:nvSpPr>
            <xdr:spPr bwMode="auto">
              <a:xfrm flipV="1">
                <a:off x="5019675" y="14344650"/>
                <a:ext cx="457200" cy="0"/>
              </a:xfrm>
              <a:prstGeom prst="line">
                <a:avLst/>
              </a:prstGeom>
              <a:noFill/>
              <a:ln w="28575">
                <a:solidFill>
                  <a:srgbClr val="000000"/>
                </a:solidFill>
                <a:round/>
                <a:headEnd/>
                <a:tailEnd/>
              </a:ln>
            </xdr:spPr>
          </xdr:sp>
          <xdr:sp macro="" textlink="">
            <xdr:nvSpPr>
              <xdr:cNvPr id="327" name="Line 423">
                <a:extLst>
                  <a:ext uri="{FF2B5EF4-FFF2-40B4-BE49-F238E27FC236}">
                    <a16:creationId xmlns:a16="http://schemas.microsoft.com/office/drawing/2014/main" id="{00000000-0008-0000-0000-000047010000}"/>
                  </a:ext>
                </a:extLst>
              </xdr:cNvPr>
              <xdr:cNvSpPr>
                <a:spLocks noChangeShapeType="1"/>
              </xdr:cNvSpPr>
            </xdr:nvSpPr>
            <xdr:spPr bwMode="auto">
              <a:xfrm flipV="1">
                <a:off x="5010150" y="14478000"/>
                <a:ext cx="457200" cy="0"/>
              </a:xfrm>
              <a:prstGeom prst="line">
                <a:avLst/>
              </a:prstGeom>
              <a:noFill/>
              <a:ln w="28575">
                <a:solidFill>
                  <a:srgbClr val="000000"/>
                </a:solidFill>
                <a:round/>
                <a:headEnd/>
                <a:tailEnd/>
              </a:ln>
            </xdr:spPr>
          </xdr:sp>
          <xdr:sp macro="" textlink="">
            <xdr:nvSpPr>
              <xdr:cNvPr id="328" name="Line 424">
                <a:extLst>
                  <a:ext uri="{FF2B5EF4-FFF2-40B4-BE49-F238E27FC236}">
                    <a16:creationId xmlns:a16="http://schemas.microsoft.com/office/drawing/2014/main" id="{00000000-0008-0000-0000-000048010000}"/>
                  </a:ext>
                </a:extLst>
              </xdr:cNvPr>
              <xdr:cNvSpPr>
                <a:spLocks noChangeShapeType="1"/>
              </xdr:cNvSpPr>
            </xdr:nvSpPr>
            <xdr:spPr bwMode="auto">
              <a:xfrm flipV="1">
                <a:off x="5638800" y="14344650"/>
                <a:ext cx="457200" cy="0"/>
              </a:xfrm>
              <a:prstGeom prst="line">
                <a:avLst/>
              </a:prstGeom>
              <a:noFill/>
              <a:ln w="28575">
                <a:solidFill>
                  <a:srgbClr val="000000"/>
                </a:solidFill>
                <a:round/>
                <a:headEnd/>
                <a:tailEnd/>
              </a:ln>
            </xdr:spPr>
          </xdr:sp>
          <xdr:sp macro="" textlink="">
            <xdr:nvSpPr>
              <xdr:cNvPr id="329" name="Line 425">
                <a:extLst>
                  <a:ext uri="{FF2B5EF4-FFF2-40B4-BE49-F238E27FC236}">
                    <a16:creationId xmlns:a16="http://schemas.microsoft.com/office/drawing/2014/main" id="{00000000-0008-0000-0000-000049010000}"/>
                  </a:ext>
                </a:extLst>
              </xdr:cNvPr>
              <xdr:cNvSpPr>
                <a:spLocks noChangeShapeType="1"/>
              </xdr:cNvSpPr>
            </xdr:nvSpPr>
            <xdr:spPr bwMode="auto">
              <a:xfrm flipV="1">
                <a:off x="5638800" y="14478000"/>
                <a:ext cx="457200" cy="0"/>
              </a:xfrm>
              <a:prstGeom prst="line">
                <a:avLst/>
              </a:prstGeom>
              <a:noFill/>
              <a:ln w="28575">
                <a:solidFill>
                  <a:srgbClr val="000000"/>
                </a:solidFill>
                <a:round/>
                <a:headEnd/>
                <a:tailEnd/>
              </a:ln>
            </xdr:spPr>
          </xdr:sp>
          <xdr:sp macro="" textlink="">
            <xdr:nvSpPr>
              <xdr:cNvPr id="330" name="Line 426">
                <a:extLst>
                  <a:ext uri="{FF2B5EF4-FFF2-40B4-BE49-F238E27FC236}">
                    <a16:creationId xmlns:a16="http://schemas.microsoft.com/office/drawing/2014/main" id="{00000000-0008-0000-0000-00004A010000}"/>
                  </a:ext>
                </a:extLst>
              </xdr:cNvPr>
              <xdr:cNvSpPr>
                <a:spLocks noChangeShapeType="1"/>
              </xdr:cNvSpPr>
            </xdr:nvSpPr>
            <xdr:spPr bwMode="auto">
              <a:xfrm>
                <a:off x="5105400" y="14458950"/>
                <a:ext cx="0" cy="342900"/>
              </a:xfrm>
              <a:prstGeom prst="line">
                <a:avLst/>
              </a:prstGeom>
              <a:noFill/>
              <a:ln w="9525">
                <a:solidFill>
                  <a:srgbClr val="000000"/>
                </a:solidFill>
                <a:round/>
                <a:headEnd/>
                <a:tailEnd/>
              </a:ln>
            </xdr:spPr>
          </xdr:sp>
          <xdr:sp macro="" textlink="">
            <xdr:nvSpPr>
              <xdr:cNvPr id="331" name="Line 427">
                <a:extLst>
                  <a:ext uri="{FF2B5EF4-FFF2-40B4-BE49-F238E27FC236}">
                    <a16:creationId xmlns:a16="http://schemas.microsoft.com/office/drawing/2014/main" id="{00000000-0008-0000-0000-00004B010000}"/>
                  </a:ext>
                </a:extLst>
              </xdr:cNvPr>
              <xdr:cNvSpPr>
                <a:spLocks noChangeShapeType="1"/>
              </xdr:cNvSpPr>
            </xdr:nvSpPr>
            <xdr:spPr bwMode="auto">
              <a:xfrm>
                <a:off x="5343525" y="14458950"/>
                <a:ext cx="0" cy="342900"/>
              </a:xfrm>
              <a:prstGeom prst="line">
                <a:avLst/>
              </a:prstGeom>
              <a:noFill/>
              <a:ln w="9525">
                <a:solidFill>
                  <a:srgbClr val="000000"/>
                </a:solidFill>
                <a:round/>
                <a:headEnd/>
                <a:tailEnd/>
              </a:ln>
            </xdr:spPr>
          </xdr:sp>
          <xdr:sp macro="" textlink="">
            <xdr:nvSpPr>
              <xdr:cNvPr id="332" name="Line 429">
                <a:extLst>
                  <a:ext uri="{FF2B5EF4-FFF2-40B4-BE49-F238E27FC236}">
                    <a16:creationId xmlns:a16="http://schemas.microsoft.com/office/drawing/2014/main" id="{00000000-0008-0000-0000-00004C010000}"/>
                  </a:ext>
                </a:extLst>
              </xdr:cNvPr>
              <xdr:cNvSpPr>
                <a:spLocks noChangeShapeType="1"/>
              </xdr:cNvSpPr>
            </xdr:nvSpPr>
            <xdr:spPr bwMode="auto">
              <a:xfrm>
                <a:off x="5724525" y="14458950"/>
                <a:ext cx="0" cy="342900"/>
              </a:xfrm>
              <a:prstGeom prst="line">
                <a:avLst/>
              </a:prstGeom>
              <a:noFill/>
              <a:ln w="9525">
                <a:solidFill>
                  <a:srgbClr val="000000"/>
                </a:solidFill>
                <a:round/>
                <a:headEnd/>
                <a:tailEnd/>
              </a:ln>
            </xdr:spPr>
          </xdr:sp>
          <xdr:sp macro="" textlink="">
            <xdr:nvSpPr>
              <xdr:cNvPr id="333" name="Line 430">
                <a:extLst>
                  <a:ext uri="{FF2B5EF4-FFF2-40B4-BE49-F238E27FC236}">
                    <a16:creationId xmlns:a16="http://schemas.microsoft.com/office/drawing/2014/main" id="{00000000-0008-0000-0000-00004D010000}"/>
                  </a:ext>
                </a:extLst>
              </xdr:cNvPr>
              <xdr:cNvSpPr>
                <a:spLocks noChangeShapeType="1"/>
              </xdr:cNvSpPr>
            </xdr:nvSpPr>
            <xdr:spPr bwMode="auto">
              <a:xfrm>
                <a:off x="5943600" y="14344650"/>
                <a:ext cx="0" cy="342900"/>
              </a:xfrm>
              <a:prstGeom prst="line">
                <a:avLst/>
              </a:prstGeom>
              <a:noFill/>
              <a:ln w="9525">
                <a:solidFill>
                  <a:srgbClr val="000000"/>
                </a:solidFill>
                <a:round/>
                <a:headEnd/>
                <a:tailEnd/>
              </a:ln>
            </xdr:spPr>
          </xdr:sp>
          <xdr:sp macro="" textlink="">
            <xdr:nvSpPr>
              <xdr:cNvPr id="334" name="Line 433">
                <a:extLst>
                  <a:ext uri="{FF2B5EF4-FFF2-40B4-BE49-F238E27FC236}">
                    <a16:creationId xmlns:a16="http://schemas.microsoft.com/office/drawing/2014/main" id="{00000000-0008-0000-0000-00004E010000}"/>
                  </a:ext>
                </a:extLst>
              </xdr:cNvPr>
              <xdr:cNvSpPr>
                <a:spLocks noChangeShapeType="1"/>
              </xdr:cNvSpPr>
            </xdr:nvSpPr>
            <xdr:spPr bwMode="auto">
              <a:xfrm rot="-5400000">
                <a:off x="5715000" y="14916150"/>
                <a:ext cx="228600" cy="0"/>
              </a:xfrm>
              <a:prstGeom prst="line">
                <a:avLst/>
              </a:prstGeom>
              <a:noFill/>
              <a:ln w="9525">
                <a:solidFill>
                  <a:srgbClr val="000000"/>
                </a:solidFill>
                <a:round/>
                <a:headEnd/>
                <a:tailEnd/>
              </a:ln>
            </xdr:spPr>
          </xdr:sp>
          <xdr:sp macro="" textlink="">
            <xdr:nvSpPr>
              <xdr:cNvPr id="335" name="Line 434">
                <a:extLst>
                  <a:ext uri="{FF2B5EF4-FFF2-40B4-BE49-F238E27FC236}">
                    <a16:creationId xmlns:a16="http://schemas.microsoft.com/office/drawing/2014/main" id="{00000000-0008-0000-0000-00004F010000}"/>
                  </a:ext>
                </a:extLst>
              </xdr:cNvPr>
              <xdr:cNvSpPr>
                <a:spLocks noChangeShapeType="1"/>
              </xdr:cNvSpPr>
            </xdr:nvSpPr>
            <xdr:spPr bwMode="auto">
              <a:xfrm>
                <a:off x="5724525" y="14792325"/>
                <a:ext cx="228600" cy="0"/>
              </a:xfrm>
              <a:prstGeom prst="line">
                <a:avLst/>
              </a:prstGeom>
              <a:noFill/>
              <a:ln w="9525">
                <a:solidFill>
                  <a:srgbClr val="000000"/>
                </a:solidFill>
                <a:round/>
                <a:headEnd/>
                <a:tailEnd/>
              </a:ln>
            </xdr:spPr>
          </xdr:sp>
          <xdr:sp macro="" textlink="">
            <xdr:nvSpPr>
              <xdr:cNvPr id="336" name="Line 435">
                <a:extLst>
                  <a:ext uri="{FF2B5EF4-FFF2-40B4-BE49-F238E27FC236}">
                    <a16:creationId xmlns:a16="http://schemas.microsoft.com/office/drawing/2014/main" id="{00000000-0008-0000-0000-000050010000}"/>
                  </a:ext>
                </a:extLst>
              </xdr:cNvPr>
              <xdr:cNvSpPr>
                <a:spLocks noChangeShapeType="1"/>
              </xdr:cNvSpPr>
            </xdr:nvSpPr>
            <xdr:spPr bwMode="auto">
              <a:xfrm rot="-5400000">
                <a:off x="5105400" y="14916150"/>
                <a:ext cx="228600" cy="0"/>
              </a:xfrm>
              <a:prstGeom prst="line">
                <a:avLst/>
              </a:prstGeom>
              <a:noFill/>
              <a:ln w="9525">
                <a:solidFill>
                  <a:srgbClr val="000000"/>
                </a:solidFill>
                <a:round/>
                <a:headEnd/>
                <a:tailEnd/>
              </a:ln>
            </xdr:spPr>
          </xdr:sp>
          <xdr:sp macro="" textlink="">
            <xdr:nvSpPr>
              <xdr:cNvPr id="337" name="Line 436">
                <a:extLst>
                  <a:ext uri="{FF2B5EF4-FFF2-40B4-BE49-F238E27FC236}">
                    <a16:creationId xmlns:a16="http://schemas.microsoft.com/office/drawing/2014/main" id="{00000000-0008-0000-0000-000051010000}"/>
                  </a:ext>
                </a:extLst>
              </xdr:cNvPr>
              <xdr:cNvSpPr>
                <a:spLocks noChangeShapeType="1"/>
              </xdr:cNvSpPr>
            </xdr:nvSpPr>
            <xdr:spPr bwMode="auto">
              <a:xfrm>
                <a:off x="5238750" y="15020925"/>
                <a:ext cx="571500" cy="0"/>
              </a:xfrm>
              <a:prstGeom prst="line">
                <a:avLst/>
              </a:prstGeom>
              <a:noFill/>
              <a:ln w="9525">
                <a:solidFill>
                  <a:srgbClr val="000000"/>
                </a:solidFill>
                <a:round/>
                <a:headEnd/>
                <a:tailEnd/>
              </a:ln>
            </xdr:spPr>
          </xdr:sp>
          <xdr:sp macro="" textlink="">
            <xdr:nvSpPr>
              <xdr:cNvPr id="338" name="Line 437">
                <a:extLst>
                  <a:ext uri="{FF2B5EF4-FFF2-40B4-BE49-F238E27FC236}">
                    <a16:creationId xmlns:a16="http://schemas.microsoft.com/office/drawing/2014/main" id="{00000000-0008-0000-0000-000052010000}"/>
                  </a:ext>
                </a:extLst>
              </xdr:cNvPr>
              <xdr:cNvSpPr>
                <a:spLocks noChangeShapeType="1"/>
              </xdr:cNvSpPr>
            </xdr:nvSpPr>
            <xdr:spPr bwMode="auto">
              <a:xfrm rot="2265785">
                <a:off x="5943600" y="14573250"/>
                <a:ext cx="0" cy="114300"/>
              </a:xfrm>
              <a:prstGeom prst="line">
                <a:avLst/>
              </a:prstGeom>
              <a:noFill/>
              <a:ln w="9525">
                <a:solidFill>
                  <a:srgbClr val="000000"/>
                </a:solidFill>
                <a:round/>
                <a:headEnd/>
                <a:tailEnd/>
              </a:ln>
            </xdr:spPr>
          </xdr:sp>
          <xdr:sp macro="" textlink="">
            <xdr:nvSpPr>
              <xdr:cNvPr id="339" name="Line 438">
                <a:extLst>
                  <a:ext uri="{FF2B5EF4-FFF2-40B4-BE49-F238E27FC236}">
                    <a16:creationId xmlns:a16="http://schemas.microsoft.com/office/drawing/2014/main" id="{00000000-0008-0000-0000-000053010000}"/>
                  </a:ext>
                </a:extLst>
              </xdr:cNvPr>
              <xdr:cNvSpPr>
                <a:spLocks noChangeShapeType="1"/>
              </xdr:cNvSpPr>
            </xdr:nvSpPr>
            <xdr:spPr bwMode="auto">
              <a:xfrm rot="2265785">
                <a:off x="5724525" y="14573250"/>
                <a:ext cx="0" cy="114300"/>
              </a:xfrm>
              <a:prstGeom prst="line">
                <a:avLst/>
              </a:prstGeom>
              <a:noFill/>
              <a:ln w="9525">
                <a:solidFill>
                  <a:srgbClr val="000000"/>
                </a:solidFill>
                <a:round/>
                <a:headEnd/>
                <a:tailEnd/>
              </a:ln>
            </xdr:spPr>
          </xdr:sp>
          <xdr:sp macro="" textlink="">
            <xdr:nvSpPr>
              <xdr:cNvPr id="340" name="Line 439">
                <a:extLst>
                  <a:ext uri="{FF2B5EF4-FFF2-40B4-BE49-F238E27FC236}">
                    <a16:creationId xmlns:a16="http://schemas.microsoft.com/office/drawing/2014/main" id="{00000000-0008-0000-0000-000054010000}"/>
                  </a:ext>
                </a:extLst>
              </xdr:cNvPr>
              <xdr:cNvSpPr>
                <a:spLocks noChangeShapeType="1"/>
              </xdr:cNvSpPr>
            </xdr:nvSpPr>
            <xdr:spPr bwMode="auto">
              <a:xfrm rot="2265785">
                <a:off x="5343525" y="14573250"/>
                <a:ext cx="0" cy="114300"/>
              </a:xfrm>
              <a:prstGeom prst="line">
                <a:avLst/>
              </a:prstGeom>
              <a:noFill/>
              <a:ln w="9525">
                <a:solidFill>
                  <a:srgbClr val="000000"/>
                </a:solidFill>
                <a:round/>
                <a:headEnd/>
                <a:tailEnd/>
              </a:ln>
            </xdr:spPr>
          </xdr:sp>
          <xdr:sp macro="" textlink="">
            <xdr:nvSpPr>
              <xdr:cNvPr id="341" name="Line 440">
                <a:extLst>
                  <a:ext uri="{FF2B5EF4-FFF2-40B4-BE49-F238E27FC236}">
                    <a16:creationId xmlns:a16="http://schemas.microsoft.com/office/drawing/2014/main" id="{00000000-0008-0000-0000-000055010000}"/>
                  </a:ext>
                </a:extLst>
              </xdr:cNvPr>
              <xdr:cNvSpPr>
                <a:spLocks noChangeShapeType="1"/>
              </xdr:cNvSpPr>
            </xdr:nvSpPr>
            <xdr:spPr bwMode="auto">
              <a:xfrm rot="2265785">
                <a:off x="5105400" y="14563725"/>
                <a:ext cx="0" cy="114300"/>
              </a:xfrm>
              <a:prstGeom prst="line">
                <a:avLst/>
              </a:prstGeom>
              <a:noFill/>
              <a:ln w="9525">
                <a:solidFill>
                  <a:srgbClr val="000000"/>
                </a:solidFill>
                <a:round/>
                <a:headEnd/>
                <a:tailEnd/>
              </a:ln>
            </xdr:spPr>
          </xdr:sp>
          <xdr:sp macro="" textlink="">
            <xdr:nvSpPr>
              <xdr:cNvPr id="342" name="Line 441">
                <a:extLst>
                  <a:ext uri="{FF2B5EF4-FFF2-40B4-BE49-F238E27FC236}">
                    <a16:creationId xmlns:a16="http://schemas.microsoft.com/office/drawing/2014/main" id="{00000000-0008-0000-0000-000056010000}"/>
                  </a:ext>
                </a:extLst>
              </xdr:cNvPr>
              <xdr:cNvSpPr>
                <a:spLocks noChangeShapeType="1"/>
              </xdr:cNvSpPr>
            </xdr:nvSpPr>
            <xdr:spPr bwMode="auto">
              <a:xfrm rot="2265785">
                <a:off x="5534025" y="14973300"/>
                <a:ext cx="0" cy="114300"/>
              </a:xfrm>
              <a:prstGeom prst="line">
                <a:avLst/>
              </a:prstGeom>
              <a:noFill/>
              <a:ln w="9525">
                <a:solidFill>
                  <a:srgbClr val="000000"/>
                </a:solidFill>
                <a:round/>
                <a:headEnd/>
                <a:tailEnd/>
              </a:ln>
            </xdr:spPr>
          </xdr:sp>
          <xdr:sp macro="" textlink="">
            <xdr:nvSpPr>
              <xdr:cNvPr id="343" name="Line 442">
                <a:extLst>
                  <a:ext uri="{FF2B5EF4-FFF2-40B4-BE49-F238E27FC236}">
                    <a16:creationId xmlns:a16="http://schemas.microsoft.com/office/drawing/2014/main" id="{00000000-0008-0000-0000-000057010000}"/>
                  </a:ext>
                </a:extLst>
              </xdr:cNvPr>
              <xdr:cNvSpPr>
                <a:spLocks noChangeShapeType="1"/>
              </xdr:cNvSpPr>
            </xdr:nvSpPr>
            <xdr:spPr bwMode="auto">
              <a:xfrm rot="-3134215">
                <a:off x="5543550" y="14963775"/>
                <a:ext cx="0" cy="114300"/>
              </a:xfrm>
              <a:prstGeom prst="line">
                <a:avLst/>
              </a:prstGeom>
              <a:noFill/>
              <a:ln w="9525">
                <a:solidFill>
                  <a:srgbClr val="000000"/>
                </a:solidFill>
                <a:round/>
                <a:headEnd/>
                <a:tailEnd/>
              </a:ln>
            </xdr:spPr>
          </xdr:sp>
        </xdr:grpSp>
      </xdr:grpSp>
    </xdr:grpSp>
    <xdr:clientData/>
  </xdr:twoCellAnchor>
  <xdr:twoCellAnchor>
    <xdr:from>
      <xdr:col>2</xdr:col>
      <xdr:colOff>419100</xdr:colOff>
      <xdr:row>29</xdr:row>
      <xdr:rowOff>133350</xdr:rowOff>
    </xdr:from>
    <xdr:to>
      <xdr:col>2</xdr:col>
      <xdr:colOff>1504950</xdr:colOff>
      <xdr:row>29</xdr:row>
      <xdr:rowOff>1000125</xdr:rowOff>
    </xdr:to>
    <xdr:grpSp>
      <xdr:nvGrpSpPr>
        <xdr:cNvPr id="344" name="Group 343">
          <a:extLst>
            <a:ext uri="{FF2B5EF4-FFF2-40B4-BE49-F238E27FC236}">
              <a16:creationId xmlns:a16="http://schemas.microsoft.com/office/drawing/2014/main" id="{00000000-0008-0000-0000-000058010000}"/>
            </a:ext>
          </a:extLst>
        </xdr:cNvPr>
        <xdr:cNvGrpSpPr/>
      </xdr:nvGrpSpPr>
      <xdr:grpSpPr>
        <a:xfrm>
          <a:off x="3521529" y="15686314"/>
          <a:ext cx="1085850" cy="866775"/>
          <a:chOff x="5010150" y="14344650"/>
          <a:chExt cx="1085850" cy="752475"/>
        </a:xfrm>
      </xdr:grpSpPr>
      <xdr:sp macro="" textlink="">
        <xdr:nvSpPr>
          <xdr:cNvPr id="345" name="Line 431">
            <a:extLst>
              <a:ext uri="{FF2B5EF4-FFF2-40B4-BE49-F238E27FC236}">
                <a16:creationId xmlns:a16="http://schemas.microsoft.com/office/drawing/2014/main" id="{00000000-0008-0000-0000-000059010000}"/>
              </a:ext>
            </a:extLst>
          </xdr:cNvPr>
          <xdr:cNvSpPr>
            <a:spLocks noChangeShapeType="1"/>
          </xdr:cNvSpPr>
        </xdr:nvSpPr>
        <xdr:spPr bwMode="auto">
          <a:xfrm>
            <a:off x="5114925" y="14801850"/>
            <a:ext cx="228600" cy="9525"/>
          </a:xfrm>
          <a:prstGeom prst="line">
            <a:avLst/>
          </a:prstGeom>
          <a:noFill/>
          <a:ln w="9525">
            <a:solidFill>
              <a:srgbClr val="000000"/>
            </a:solidFill>
            <a:round/>
            <a:headEnd/>
            <a:tailEnd/>
          </a:ln>
        </xdr:spPr>
      </xdr:sp>
      <xdr:grpSp>
        <xdr:nvGrpSpPr>
          <xdr:cNvPr id="346" name="Group 602">
            <a:extLst>
              <a:ext uri="{FF2B5EF4-FFF2-40B4-BE49-F238E27FC236}">
                <a16:creationId xmlns:a16="http://schemas.microsoft.com/office/drawing/2014/main" id="{00000000-0008-0000-0000-00005A010000}"/>
              </a:ext>
            </a:extLst>
          </xdr:cNvPr>
          <xdr:cNvGrpSpPr/>
        </xdr:nvGrpSpPr>
        <xdr:grpSpPr>
          <a:xfrm>
            <a:off x="5010150" y="14344650"/>
            <a:ext cx="1085850" cy="752475"/>
            <a:chOff x="5010150" y="14344650"/>
            <a:chExt cx="1085850" cy="752475"/>
          </a:xfrm>
        </xdr:grpSpPr>
        <xdr:sp macro="" textlink="">
          <xdr:nvSpPr>
            <xdr:cNvPr id="347" name="Line 428">
              <a:extLst>
                <a:ext uri="{FF2B5EF4-FFF2-40B4-BE49-F238E27FC236}">
                  <a16:creationId xmlns:a16="http://schemas.microsoft.com/office/drawing/2014/main" id="{00000000-0008-0000-0000-00005B010000}"/>
                </a:ext>
              </a:extLst>
            </xdr:cNvPr>
            <xdr:cNvSpPr>
              <a:spLocks noChangeShapeType="1"/>
            </xdr:cNvSpPr>
          </xdr:nvSpPr>
          <xdr:spPr bwMode="auto">
            <a:xfrm>
              <a:off x="5943600" y="14449425"/>
              <a:ext cx="0" cy="342900"/>
            </a:xfrm>
            <a:prstGeom prst="line">
              <a:avLst/>
            </a:prstGeom>
            <a:noFill/>
            <a:ln w="9525">
              <a:solidFill>
                <a:srgbClr val="000000"/>
              </a:solidFill>
              <a:round/>
              <a:headEnd/>
              <a:tailEnd/>
            </a:ln>
          </xdr:spPr>
        </xdr:sp>
        <xdr:sp macro="" textlink="">
          <xdr:nvSpPr>
            <xdr:cNvPr id="348" name="Line 432">
              <a:extLst>
                <a:ext uri="{FF2B5EF4-FFF2-40B4-BE49-F238E27FC236}">
                  <a16:creationId xmlns:a16="http://schemas.microsoft.com/office/drawing/2014/main" id="{00000000-0008-0000-0000-00005C010000}"/>
                </a:ext>
              </a:extLst>
            </xdr:cNvPr>
            <xdr:cNvSpPr>
              <a:spLocks noChangeShapeType="1"/>
            </xdr:cNvSpPr>
          </xdr:nvSpPr>
          <xdr:spPr bwMode="auto">
            <a:xfrm>
              <a:off x="5343525" y="14344650"/>
              <a:ext cx="0" cy="342900"/>
            </a:xfrm>
            <a:prstGeom prst="line">
              <a:avLst/>
            </a:prstGeom>
            <a:noFill/>
            <a:ln w="9525">
              <a:solidFill>
                <a:srgbClr val="000000"/>
              </a:solidFill>
              <a:round/>
              <a:headEnd/>
              <a:tailEnd/>
            </a:ln>
          </xdr:spPr>
        </xdr:sp>
        <xdr:grpSp>
          <xdr:nvGrpSpPr>
            <xdr:cNvPr id="349" name="Group 601">
              <a:extLst>
                <a:ext uri="{FF2B5EF4-FFF2-40B4-BE49-F238E27FC236}">
                  <a16:creationId xmlns:a16="http://schemas.microsoft.com/office/drawing/2014/main" id="{00000000-0008-0000-0000-00005D010000}"/>
                </a:ext>
              </a:extLst>
            </xdr:cNvPr>
            <xdr:cNvGrpSpPr/>
          </xdr:nvGrpSpPr>
          <xdr:grpSpPr>
            <a:xfrm>
              <a:off x="5010150" y="14354175"/>
              <a:ext cx="1085850" cy="742950"/>
              <a:chOff x="5010150" y="14344650"/>
              <a:chExt cx="1085850" cy="742950"/>
            </a:xfrm>
          </xdr:grpSpPr>
          <xdr:sp macro="" textlink="">
            <xdr:nvSpPr>
              <xdr:cNvPr id="350" name="Line 422">
                <a:extLst>
                  <a:ext uri="{FF2B5EF4-FFF2-40B4-BE49-F238E27FC236}">
                    <a16:creationId xmlns:a16="http://schemas.microsoft.com/office/drawing/2014/main" id="{00000000-0008-0000-0000-00005E010000}"/>
                  </a:ext>
                </a:extLst>
              </xdr:cNvPr>
              <xdr:cNvSpPr>
                <a:spLocks noChangeShapeType="1"/>
              </xdr:cNvSpPr>
            </xdr:nvSpPr>
            <xdr:spPr bwMode="auto">
              <a:xfrm flipV="1">
                <a:off x="5019675" y="14344650"/>
                <a:ext cx="457200" cy="0"/>
              </a:xfrm>
              <a:prstGeom prst="line">
                <a:avLst/>
              </a:prstGeom>
              <a:noFill/>
              <a:ln w="28575">
                <a:solidFill>
                  <a:srgbClr val="000000"/>
                </a:solidFill>
                <a:round/>
                <a:headEnd/>
                <a:tailEnd/>
              </a:ln>
            </xdr:spPr>
          </xdr:sp>
          <xdr:sp macro="" textlink="">
            <xdr:nvSpPr>
              <xdr:cNvPr id="351" name="Line 423">
                <a:extLst>
                  <a:ext uri="{FF2B5EF4-FFF2-40B4-BE49-F238E27FC236}">
                    <a16:creationId xmlns:a16="http://schemas.microsoft.com/office/drawing/2014/main" id="{00000000-0008-0000-0000-00005F010000}"/>
                  </a:ext>
                </a:extLst>
              </xdr:cNvPr>
              <xdr:cNvSpPr>
                <a:spLocks noChangeShapeType="1"/>
              </xdr:cNvSpPr>
            </xdr:nvSpPr>
            <xdr:spPr bwMode="auto">
              <a:xfrm flipV="1">
                <a:off x="5010150" y="14478000"/>
                <a:ext cx="457200" cy="0"/>
              </a:xfrm>
              <a:prstGeom prst="line">
                <a:avLst/>
              </a:prstGeom>
              <a:noFill/>
              <a:ln w="28575">
                <a:solidFill>
                  <a:srgbClr val="000000"/>
                </a:solidFill>
                <a:round/>
                <a:headEnd/>
                <a:tailEnd/>
              </a:ln>
            </xdr:spPr>
          </xdr:sp>
          <xdr:sp macro="" textlink="">
            <xdr:nvSpPr>
              <xdr:cNvPr id="352" name="Line 424">
                <a:extLst>
                  <a:ext uri="{FF2B5EF4-FFF2-40B4-BE49-F238E27FC236}">
                    <a16:creationId xmlns:a16="http://schemas.microsoft.com/office/drawing/2014/main" id="{00000000-0008-0000-0000-000060010000}"/>
                  </a:ext>
                </a:extLst>
              </xdr:cNvPr>
              <xdr:cNvSpPr>
                <a:spLocks noChangeShapeType="1"/>
              </xdr:cNvSpPr>
            </xdr:nvSpPr>
            <xdr:spPr bwMode="auto">
              <a:xfrm flipV="1">
                <a:off x="5638800" y="14344650"/>
                <a:ext cx="457200" cy="0"/>
              </a:xfrm>
              <a:prstGeom prst="line">
                <a:avLst/>
              </a:prstGeom>
              <a:noFill/>
              <a:ln w="28575">
                <a:solidFill>
                  <a:srgbClr val="000000"/>
                </a:solidFill>
                <a:round/>
                <a:headEnd/>
                <a:tailEnd/>
              </a:ln>
            </xdr:spPr>
          </xdr:sp>
          <xdr:sp macro="" textlink="">
            <xdr:nvSpPr>
              <xdr:cNvPr id="353" name="Line 425">
                <a:extLst>
                  <a:ext uri="{FF2B5EF4-FFF2-40B4-BE49-F238E27FC236}">
                    <a16:creationId xmlns:a16="http://schemas.microsoft.com/office/drawing/2014/main" id="{00000000-0008-0000-0000-000061010000}"/>
                  </a:ext>
                </a:extLst>
              </xdr:cNvPr>
              <xdr:cNvSpPr>
                <a:spLocks noChangeShapeType="1"/>
              </xdr:cNvSpPr>
            </xdr:nvSpPr>
            <xdr:spPr bwMode="auto">
              <a:xfrm flipV="1">
                <a:off x="5638800" y="14478000"/>
                <a:ext cx="457200" cy="0"/>
              </a:xfrm>
              <a:prstGeom prst="line">
                <a:avLst/>
              </a:prstGeom>
              <a:noFill/>
              <a:ln w="28575">
                <a:solidFill>
                  <a:srgbClr val="000000"/>
                </a:solidFill>
                <a:round/>
                <a:headEnd/>
                <a:tailEnd/>
              </a:ln>
            </xdr:spPr>
          </xdr:sp>
          <xdr:sp macro="" textlink="">
            <xdr:nvSpPr>
              <xdr:cNvPr id="354" name="Line 426">
                <a:extLst>
                  <a:ext uri="{FF2B5EF4-FFF2-40B4-BE49-F238E27FC236}">
                    <a16:creationId xmlns:a16="http://schemas.microsoft.com/office/drawing/2014/main" id="{00000000-0008-0000-0000-000062010000}"/>
                  </a:ext>
                </a:extLst>
              </xdr:cNvPr>
              <xdr:cNvSpPr>
                <a:spLocks noChangeShapeType="1"/>
              </xdr:cNvSpPr>
            </xdr:nvSpPr>
            <xdr:spPr bwMode="auto">
              <a:xfrm>
                <a:off x="5105400" y="14458950"/>
                <a:ext cx="0" cy="342900"/>
              </a:xfrm>
              <a:prstGeom prst="line">
                <a:avLst/>
              </a:prstGeom>
              <a:noFill/>
              <a:ln w="9525">
                <a:solidFill>
                  <a:srgbClr val="000000"/>
                </a:solidFill>
                <a:round/>
                <a:headEnd/>
                <a:tailEnd/>
              </a:ln>
            </xdr:spPr>
          </xdr:sp>
          <xdr:sp macro="" textlink="">
            <xdr:nvSpPr>
              <xdr:cNvPr id="355" name="Line 427">
                <a:extLst>
                  <a:ext uri="{FF2B5EF4-FFF2-40B4-BE49-F238E27FC236}">
                    <a16:creationId xmlns:a16="http://schemas.microsoft.com/office/drawing/2014/main" id="{00000000-0008-0000-0000-000063010000}"/>
                  </a:ext>
                </a:extLst>
              </xdr:cNvPr>
              <xdr:cNvSpPr>
                <a:spLocks noChangeShapeType="1"/>
              </xdr:cNvSpPr>
            </xdr:nvSpPr>
            <xdr:spPr bwMode="auto">
              <a:xfrm>
                <a:off x="5343525" y="14458950"/>
                <a:ext cx="0" cy="342900"/>
              </a:xfrm>
              <a:prstGeom prst="line">
                <a:avLst/>
              </a:prstGeom>
              <a:noFill/>
              <a:ln w="9525">
                <a:solidFill>
                  <a:srgbClr val="000000"/>
                </a:solidFill>
                <a:round/>
                <a:headEnd/>
                <a:tailEnd/>
              </a:ln>
            </xdr:spPr>
          </xdr:sp>
          <xdr:sp macro="" textlink="">
            <xdr:nvSpPr>
              <xdr:cNvPr id="356" name="Line 429">
                <a:extLst>
                  <a:ext uri="{FF2B5EF4-FFF2-40B4-BE49-F238E27FC236}">
                    <a16:creationId xmlns:a16="http://schemas.microsoft.com/office/drawing/2014/main" id="{00000000-0008-0000-0000-000064010000}"/>
                  </a:ext>
                </a:extLst>
              </xdr:cNvPr>
              <xdr:cNvSpPr>
                <a:spLocks noChangeShapeType="1"/>
              </xdr:cNvSpPr>
            </xdr:nvSpPr>
            <xdr:spPr bwMode="auto">
              <a:xfrm>
                <a:off x="5724525" y="14458950"/>
                <a:ext cx="0" cy="342900"/>
              </a:xfrm>
              <a:prstGeom prst="line">
                <a:avLst/>
              </a:prstGeom>
              <a:noFill/>
              <a:ln w="9525">
                <a:solidFill>
                  <a:srgbClr val="000000"/>
                </a:solidFill>
                <a:round/>
                <a:headEnd/>
                <a:tailEnd/>
              </a:ln>
            </xdr:spPr>
          </xdr:sp>
          <xdr:sp macro="" textlink="">
            <xdr:nvSpPr>
              <xdr:cNvPr id="357" name="Line 430">
                <a:extLst>
                  <a:ext uri="{FF2B5EF4-FFF2-40B4-BE49-F238E27FC236}">
                    <a16:creationId xmlns:a16="http://schemas.microsoft.com/office/drawing/2014/main" id="{00000000-0008-0000-0000-000065010000}"/>
                  </a:ext>
                </a:extLst>
              </xdr:cNvPr>
              <xdr:cNvSpPr>
                <a:spLocks noChangeShapeType="1"/>
              </xdr:cNvSpPr>
            </xdr:nvSpPr>
            <xdr:spPr bwMode="auto">
              <a:xfrm>
                <a:off x="5943600" y="14344650"/>
                <a:ext cx="0" cy="342900"/>
              </a:xfrm>
              <a:prstGeom prst="line">
                <a:avLst/>
              </a:prstGeom>
              <a:noFill/>
              <a:ln w="9525">
                <a:solidFill>
                  <a:srgbClr val="000000"/>
                </a:solidFill>
                <a:round/>
                <a:headEnd/>
                <a:tailEnd/>
              </a:ln>
            </xdr:spPr>
          </xdr:sp>
          <xdr:sp macro="" textlink="">
            <xdr:nvSpPr>
              <xdr:cNvPr id="358" name="Line 433">
                <a:extLst>
                  <a:ext uri="{FF2B5EF4-FFF2-40B4-BE49-F238E27FC236}">
                    <a16:creationId xmlns:a16="http://schemas.microsoft.com/office/drawing/2014/main" id="{00000000-0008-0000-0000-000066010000}"/>
                  </a:ext>
                </a:extLst>
              </xdr:cNvPr>
              <xdr:cNvSpPr>
                <a:spLocks noChangeShapeType="1"/>
              </xdr:cNvSpPr>
            </xdr:nvSpPr>
            <xdr:spPr bwMode="auto">
              <a:xfrm rot="-5400000">
                <a:off x="5715000" y="14916150"/>
                <a:ext cx="228600" cy="0"/>
              </a:xfrm>
              <a:prstGeom prst="line">
                <a:avLst/>
              </a:prstGeom>
              <a:noFill/>
              <a:ln w="9525">
                <a:solidFill>
                  <a:srgbClr val="000000"/>
                </a:solidFill>
                <a:round/>
                <a:headEnd/>
                <a:tailEnd/>
              </a:ln>
            </xdr:spPr>
          </xdr:sp>
          <xdr:sp macro="" textlink="">
            <xdr:nvSpPr>
              <xdr:cNvPr id="359" name="Line 434">
                <a:extLst>
                  <a:ext uri="{FF2B5EF4-FFF2-40B4-BE49-F238E27FC236}">
                    <a16:creationId xmlns:a16="http://schemas.microsoft.com/office/drawing/2014/main" id="{00000000-0008-0000-0000-000067010000}"/>
                  </a:ext>
                </a:extLst>
              </xdr:cNvPr>
              <xdr:cNvSpPr>
                <a:spLocks noChangeShapeType="1"/>
              </xdr:cNvSpPr>
            </xdr:nvSpPr>
            <xdr:spPr bwMode="auto">
              <a:xfrm>
                <a:off x="5724525" y="14792325"/>
                <a:ext cx="228600" cy="0"/>
              </a:xfrm>
              <a:prstGeom prst="line">
                <a:avLst/>
              </a:prstGeom>
              <a:noFill/>
              <a:ln w="9525">
                <a:solidFill>
                  <a:srgbClr val="000000"/>
                </a:solidFill>
                <a:round/>
                <a:headEnd/>
                <a:tailEnd/>
              </a:ln>
            </xdr:spPr>
          </xdr:sp>
          <xdr:sp macro="" textlink="">
            <xdr:nvSpPr>
              <xdr:cNvPr id="360" name="Line 435">
                <a:extLst>
                  <a:ext uri="{FF2B5EF4-FFF2-40B4-BE49-F238E27FC236}">
                    <a16:creationId xmlns:a16="http://schemas.microsoft.com/office/drawing/2014/main" id="{00000000-0008-0000-0000-000068010000}"/>
                  </a:ext>
                </a:extLst>
              </xdr:cNvPr>
              <xdr:cNvSpPr>
                <a:spLocks noChangeShapeType="1"/>
              </xdr:cNvSpPr>
            </xdr:nvSpPr>
            <xdr:spPr bwMode="auto">
              <a:xfrm rot="-5400000">
                <a:off x="5105400" y="14916150"/>
                <a:ext cx="228600" cy="0"/>
              </a:xfrm>
              <a:prstGeom prst="line">
                <a:avLst/>
              </a:prstGeom>
              <a:noFill/>
              <a:ln w="9525">
                <a:solidFill>
                  <a:srgbClr val="000000"/>
                </a:solidFill>
                <a:round/>
                <a:headEnd/>
                <a:tailEnd/>
              </a:ln>
            </xdr:spPr>
          </xdr:sp>
          <xdr:sp macro="" textlink="">
            <xdr:nvSpPr>
              <xdr:cNvPr id="361" name="Line 436">
                <a:extLst>
                  <a:ext uri="{FF2B5EF4-FFF2-40B4-BE49-F238E27FC236}">
                    <a16:creationId xmlns:a16="http://schemas.microsoft.com/office/drawing/2014/main" id="{00000000-0008-0000-0000-000069010000}"/>
                  </a:ext>
                </a:extLst>
              </xdr:cNvPr>
              <xdr:cNvSpPr>
                <a:spLocks noChangeShapeType="1"/>
              </xdr:cNvSpPr>
            </xdr:nvSpPr>
            <xdr:spPr bwMode="auto">
              <a:xfrm>
                <a:off x="5238750" y="15020925"/>
                <a:ext cx="571500" cy="0"/>
              </a:xfrm>
              <a:prstGeom prst="line">
                <a:avLst/>
              </a:prstGeom>
              <a:noFill/>
              <a:ln w="9525">
                <a:solidFill>
                  <a:srgbClr val="000000"/>
                </a:solidFill>
                <a:round/>
                <a:headEnd/>
                <a:tailEnd/>
              </a:ln>
            </xdr:spPr>
          </xdr:sp>
          <xdr:sp macro="" textlink="">
            <xdr:nvSpPr>
              <xdr:cNvPr id="362" name="Line 437">
                <a:extLst>
                  <a:ext uri="{FF2B5EF4-FFF2-40B4-BE49-F238E27FC236}">
                    <a16:creationId xmlns:a16="http://schemas.microsoft.com/office/drawing/2014/main" id="{00000000-0008-0000-0000-00006A010000}"/>
                  </a:ext>
                </a:extLst>
              </xdr:cNvPr>
              <xdr:cNvSpPr>
                <a:spLocks noChangeShapeType="1"/>
              </xdr:cNvSpPr>
            </xdr:nvSpPr>
            <xdr:spPr bwMode="auto">
              <a:xfrm rot="2265785">
                <a:off x="5943600" y="14573250"/>
                <a:ext cx="0" cy="114300"/>
              </a:xfrm>
              <a:prstGeom prst="line">
                <a:avLst/>
              </a:prstGeom>
              <a:noFill/>
              <a:ln w="9525">
                <a:solidFill>
                  <a:srgbClr val="000000"/>
                </a:solidFill>
                <a:round/>
                <a:headEnd/>
                <a:tailEnd/>
              </a:ln>
            </xdr:spPr>
          </xdr:sp>
          <xdr:sp macro="" textlink="">
            <xdr:nvSpPr>
              <xdr:cNvPr id="363" name="Line 438">
                <a:extLst>
                  <a:ext uri="{FF2B5EF4-FFF2-40B4-BE49-F238E27FC236}">
                    <a16:creationId xmlns:a16="http://schemas.microsoft.com/office/drawing/2014/main" id="{00000000-0008-0000-0000-00006B010000}"/>
                  </a:ext>
                </a:extLst>
              </xdr:cNvPr>
              <xdr:cNvSpPr>
                <a:spLocks noChangeShapeType="1"/>
              </xdr:cNvSpPr>
            </xdr:nvSpPr>
            <xdr:spPr bwMode="auto">
              <a:xfrm rot="2265785">
                <a:off x="5724525" y="14573250"/>
                <a:ext cx="0" cy="114300"/>
              </a:xfrm>
              <a:prstGeom prst="line">
                <a:avLst/>
              </a:prstGeom>
              <a:noFill/>
              <a:ln w="9525">
                <a:solidFill>
                  <a:srgbClr val="000000"/>
                </a:solidFill>
                <a:round/>
                <a:headEnd/>
                <a:tailEnd/>
              </a:ln>
            </xdr:spPr>
          </xdr:sp>
          <xdr:sp macro="" textlink="">
            <xdr:nvSpPr>
              <xdr:cNvPr id="364" name="Line 439">
                <a:extLst>
                  <a:ext uri="{FF2B5EF4-FFF2-40B4-BE49-F238E27FC236}">
                    <a16:creationId xmlns:a16="http://schemas.microsoft.com/office/drawing/2014/main" id="{00000000-0008-0000-0000-00006C010000}"/>
                  </a:ext>
                </a:extLst>
              </xdr:cNvPr>
              <xdr:cNvSpPr>
                <a:spLocks noChangeShapeType="1"/>
              </xdr:cNvSpPr>
            </xdr:nvSpPr>
            <xdr:spPr bwMode="auto">
              <a:xfrm rot="2265785">
                <a:off x="5343525" y="14573250"/>
                <a:ext cx="0" cy="114300"/>
              </a:xfrm>
              <a:prstGeom prst="line">
                <a:avLst/>
              </a:prstGeom>
              <a:noFill/>
              <a:ln w="9525">
                <a:solidFill>
                  <a:srgbClr val="000000"/>
                </a:solidFill>
                <a:round/>
                <a:headEnd/>
                <a:tailEnd/>
              </a:ln>
            </xdr:spPr>
          </xdr:sp>
          <xdr:sp macro="" textlink="">
            <xdr:nvSpPr>
              <xdr:cNvPr id="365" name="Line 440">
                <a:extLst>
                  <a:ext uri="{FF2B5EF4-FFF2-40B4-BE49-F238E27FC236}">
                    <a16:creationId xmlns:a16="http://schemas.microsoft.com/office/drawing/2014/main" id="{00000000-0008-0000-0000-00006D010000}"/>
                  </a:ext>
                </a:extLst>
              </xdr:cNvPr>
              <xdr:cNvSpPr>
                <a:spLocks noChangeShapeType="1"/>
              </xdr:cNvSpPr>
            </xdr:nvSpPr>
            <xdr:spPr bwMode="auto">
              <a:xfrm rot="2265785">
                <a:off x="5105400" y="14563725"/>
                <a:ext cx="0" cy="114300"/>
              </a:xfrm>
              <a:prstGeom prst="line">
                <a:avLst/>
              </a:prstGeom>
              <a:noFill/>
              <a:ln w="9525">
                <a:solidFill>
                  <a:srgbClr val="000000"/>
                </a:solidFill>
                <a:round/>
                <a:headEnd/>
                <a:tailEnd/>
              </a:ln>
            </xdr:spPr>
          </xdr:sp>
          <xdr:sp macro="" textlink="">
            <xdr:nvSpPr>
              <xdr:cNvPr id="366" name="Line 441">
                <a:extLst>
                  <a:ext uri="{FF2B5EF4-FFF2-40B4-BE49-F238E27FC236}">
                    <a16:creationId xmlns:a16="http://schemas.microsoft.com/office/drawing/2014/main" id="{00000000-0008-0000-0000-00006E010000}"/>
                  </a:ext>
                </a:extLst>
              </xdr:cNvPr>
              <xdr:cNvSpPr>
                <a:spLocks noChangeShapeType="1"/>
              </xdr:cNvSpPr>
            </xdr:nvSpPr>
            <xdr:spPr bwMode="auto">
              <a:xfrm rot="2265785">
                <a:off x="5534025" y="14973300"/>
                <a:ext cx="0" cy="114300"/>
              </a:xfrm>
              <a:prstGeom prst="line">
                <a:avLst/>
              </a:prstGeom>
              <a:noFill/>
              <a:ln w="9525">
                <a:solidFill>
                  <a:srgbClr val="000000"/>
                </a:solidFill>
                <a:round/>
                <a:headEnd/>
                <a:tailEnd/>
              </a:ln>
            </xdr:spPr>
          </xdr:sp>
          <xdr:sp macro="" textlink="">
            <xdr:nvSpPr>
              <xdr:cNvPr id="367" name="Line 442">
                <a:extLst>
                  <a:ext uri="{FF2B5EF4-FFF2-40B4-BE49-F238E27FC236}">
                    <a16:creationId xmlns:a16="http://schemas.microsoft.com/office/drawing/2014/main" id="{00000000-0008-0000-0000-00006F010000}"/>
                  </a:ext>
                </a:extLst>
              </xdr:cNvPr>
              <xdr:cNvSpPr>
                <a:spLocks noChangeShapeType="1"/>
              </xdr:cNvSpPr>
            </xdr:nvSpPr>
            <xdr:spPr bwMode="auto">
              <a:xfrm rot="-3134215">
                <a:off x="5543550" y="14963775"/>
                <a:ext cx="0" cy="114300"/>
              </a:xfrm>
              <a:prstGeom prst="line">
                <a:avLst/>
              </a:prstGeom>
              <a:noFill/>
              <a:ln w="9525">
                <a:solidFill>
                  <a:srgbClr val="000000"/>
                </a:solidFill>
                <a:round/>
                <a:headEnd/>
                <a:tailEnd/>
              </a:ln>
            </xdr:spPr>
          </xdr:sp>
        </xdr:grpSp>
      </xdr:grpSp>
    </xdr:grpSp>
    <xdr:clientData/>
  </xdr:twoCellAnchor>
  <xdr:twoCellAnchor>
    <xdr:from>
      <xdr:col>4</xdr:col>
      <xdr:colOff>331470</xdr:colOff>
      <xdr:row>29</xdr:row>
      <xdr:rowOff>129540</xdr:rowOff>
    </xdr:from>
    <xdr:to>
      <xdr:col>4</xdr:col>
      <xdr:colOff>1360170</xdr:colOff>
      <xdr:row>29</xdr:row>
      <xdr:rowOff>941070</xdr:rowOff>
    </xdr:to>
    <xdr:grpSp>
      <xdr:nvGrpSpPr>
        <xdr:cNvPr id="410" name="Group 409">
          <a:extLst>
            <a:ext uri="{FF2B5EF4-FFF2-40B4-BE49-F238E27FC236}">
              <a16:creationId xmlns:a16="http://schemas.microsoft.com/office/drawing/2014/main" id="{00000000-0008-0000-0000-00009A010000}"/>
            </a:ext>
          </a:extLst>
        </xdr:cNvPr>
        <xdr:cNvGrpSpPr/>
      </xdr:nvGrpSpPr>
      <xdr:grpSpPr>
        <a:xfrm>
          <a:off x="7284720" y="15682504"/>
          <a:ext cx="1028700" cy="811530"/>
          <a:chOff x="8782050" y="14277975"/>
          <a:chExt cx="1028700" cy="723900"/>
        </a:xfrm>
      </xdr:grpSpPr>
      <xdr:sp macro="" textlink="">
        <xdr:nvSpPr>
          <xdr:cNvPr id="411" name="Line 463">
            <a:extLst>
              <a:ext uri="{FF2B5EF4-FFF2-40B4-BE49-F238E27FC236}">
                <a16:creationId xmlns:a16="http://schemas.microsoft.com/office/drawing/2014/main" id="{00000000-0008-0000-0000-00009B010000}"/>
              </a:ext>
            </a:extLst>
          </xdr:cNvPr>
          <xdr:cNvSpPr>
            <a:spLocks noChangeShapeType="1"/>
          </xdr:cNvSpPr>
        </xdr:nvSpPr>
        <xdr:spPr bwMode="auto">
          <a:xfrm flipV="1">
            <a:off x="8791575" y="14297025"/>
            <a:ext cx="457200" cy="0"/>
          </a:xfrm>
          <a:prstGeom prst="line">
            <a:avLst/>
          </a:prstGeom>
          <a:noFill/>
          <a:ln w="28575">
            <a:solidFill>
              <a:srgbClr val="000000"/>
            </a:solidFill>
            <a:round/>
            <a:headEnd/>
            <a:tailEnd/>
          </a:ln>
        </xdr:spPr>
      </xdr:sp>
      <xdr:sp macro="" textlink="">
        <xdr:nvSpPr>
          <xdr:cNvPr id="412" name="Line 464">
            <a:extLst>
              <a:ext uri="{FF2B5EF4-FFF2-40B4-BE49-F238E27FC236}">
                <a16:creationId xmlns:a16="http://schemas.microsoft.com/office/drawing/2014/main" id="{00000000-0008-0000-0000-00009C010000}"/>
              </a:ext>
            </a:extLst>
          </xdr:cNvPr>
          <xdr:cNvSpPr>
            <a:spLocks noChangeShapeType="1"/>
          </xdr:cNvSpPr>
        </xdr:nvSpPr>
        <xdr:spPr bwMode="auto">
          <a:xfrm flipV="1">
            <a:off x="8782050" y="14430375"/>
            <a:ext cx="457200" cy="0"/>
          </a:xfrm>
          <a:prstGeom prst="line">
            <a:avLst/>
          </a:prstGeom>
          <a:noFill/>
          <a:ln w="28575">
            <a:solidFill>
              <a:srgbClr val="000000"/>
            </a:solidFill>
            <a:round/>
            <a:headEnd/>
            <a:tailEnd/>
          </a:ln>
        </xdr:spPr>
      </xdr:sp>
      <xdr:sp macro="" textlink="">
        <xdr:nvSpPr>
          <xdr:cNvPr id="413" name="Line 465">
            <a:extLst>
              <a:ext uri="{FF2B5EF4-FFF2-40B4-BE49-F238E27FC236}">
                <a16:creationId xmlns:a16="http://schemas.microsoft.com/office/drawing/2014/main" id="{00000000-0008-0000-0000-00009D010000}"/>
              </a:ext>
            </a:extLst>
          </xdr:cNvPr>
          <xdr:cNvSpPr>
            <a:spLocks noChangeShapeType="1"/>
          </xdr:cNvSpPr>
        </xdr:nvSpPr>
        <xdr:spPr bwMode="auto">
          <a:xfrm flipV="1">
            <a:off x="9353550" y="14297025"/>
            <a:ext cx="457200" cy="0"/>
          </a:xfrm>
          <a:prstGeom prst="line">
            <a:avLst/>
          </a:prstGeom>
          <a:noFill/>
          <a:ln w="28575">
            <a:solidFill>
              <a:srgbClr val="000000"/>
            </a:solidFill>
            <a:round/>
            <a:headEnd/>
            <a:tailEnd/>
          </a:ln>
        </xdr:spPr>
      </xdr:sp>
      <xdr:sp macro="" textlink="">
        <xdr:nvSpPr>
          <xdr:cNvPr id="414" name="Line 466">
            <a:extLst>
              <a:ext uri="{FF2B5EF4-FFF2-40B4-BE49-F238E27FC236}">
                <a16:creationId xmlns:a16="http://schemas.microsoft.com/office/drawing/2014/main" id="{00000000-0008-0000-0000-00009E010000}"/>
              </a:ext>
            </a:extLst>
          </xdr:cNvPr>
          <xdr:cNvSpPr>
            <a:spLocks noChangeShapeType="1"/>
          </xdr:cNvSpPr>
        </xdr:nvSpPr>
        <xdr:spPr bwMode="auto">
          <a:xfrm flipV="1">
            <a:off x="9344025" y="14430375"/>
            <a:ext cx="457200" cy="0"/>
          </a:xfrm>
          <a:prstGeom prst="line">
            <a:avLst/>
          </a:prstGeom>
          <a:noFill/>
          <a:ln w="28575">
            <a:solidFill>
              <a:srgbClr val="000000"/>
            </a:solidFill>
            <a:round/>
            <a:headEnd/>
            <a:tailEnd/>
          </a:ln>
        </xdr:spPr>
      </xdr:sp>
      <xdr:sp macro="" textlink="">
        <xdr:nvSpPr>
          <xdr:cNvPr id="415" name="Line 467">
            <a:extLst>
              <a:ext uri="{FF2B5EF4-FFF2-40B4-BE49-F238E27FC236}">
                <a16:creationId xmlns:a16="http://schemas.microsoft.com/office/drawing/2014/main" id="{00000000-0008-0000-0000-00009F010000}"/>
              </a:ext>
            </a:extLst>
          </xdr:cNvPr>
          <xdr:cNvSpPr>
            <a:spLocks noChangeShapeType="1"/>
          </xdr:cNvSpPr>
        </xdr:nvSpPr>
        <xdr:spPr bwMode="auto">
          <a:xfrm>
            <a:off x="9439275" y="14420850"/>
            <a:ext cx="0" cy="342900"/>
          </a:xfrm>
          <a:prstGeom prst="line">
            <a:avLst/>
          </a:prstGeom>
          <a:noFill/>
          <a:ln w="9525">
            <a:solidFill>
              <a:srgbClr val="000000"/>
            </a:solidFill>
            <a:round/>
            <a:headEnd/>
            <a:tailEnd/>
          </a:ln>
        </xdr:spPr>
      </xdr:sp>
      <xdr:sp macro="" textlink="">
        <xdr:nvSpPr>
          <xdr:cNvPr id="416" name="Line 468">
            <a:extLst>
              <a:ext uri="{FF2B5EF4-FFF2-40B4-BE49-F238E27FC236}">
                <a16:creationId xmlns:a16="http://schemas.microsoft.com/office/drawing/2014/main" id="{00000000-0008-0000-0000-0000A0010000}"/>
              </a:ext>
            </a:extLst>
          </xdr:cNvPr>
          <xdr:cNvSpPr>
            <a:spLocks noChangeShapeType="1"/>
          </xdr:cNvSpPr>
        </xdr:nvSpPr>
        <xdr:spPr bwMode="auto">
          <a:xfrm>
            <a:off x="9134475" y="14420850"/>
            <a:ext cx="0" cy="342900"/>
          </a:xfrm>
          <a:prstGeom prst="line">
            <a:avLst/>
          </a:prstGeom>
          <a:noFill/>
          <a:ln w="9525">
            <a:solidFill>
              <a:srgbClr val="000000"/>
            </a:solidFill>
            <a:round/>
            <a:headEnd/>
            <a:tailEnd/>
          </a:ln>
        </xdr:spPr>
      </xdr:sp>
      <xdr:sp macro="" textlink="">
        <xdr:nvSpPr>
          <xdr:cNvPr id="417" name="Line 469">
            <a:extLst>
              <a:ext uri="{FF2B5EF4-FFF2-40B4-BE49-F238E27FC236}">
                <a16:creationId xmlns:a16="http://schemas.microsoft.com/office/drawing/2014/main" id="{00000000-0008-0000-0000-0000A1010000}"/>
              </a:ext>
            </a:extLst>
          </xdr:cNvPr>
          <xdr:cNvSpPr>
            <a:spLocks noChangeShapeType="1"/>
          </xdr:cNvSpPr>
        </xdr:nvSpPr>
        <xdr:spPr bwMode="auto">
          <a:xfrm>
            <a:off x="9201150" y="14754225"/>
            <a:ext cx="228600" cy="9525"/>
          </a:xfrm>
          <a:prstGeom prst="line">
            <a:avLst/>
          </a:prstGeom>
          <a:noFill/>
          <a:ln w="9525">
            <a:solidFill>
              <a:srgbClr val="000000"/>
            </a:solidFill>
            <a:round/>
            <a:headEnd/>
            <a:tailEnd/>
          </a:ln>
        </xdr:spPr>
      </xdr:sp>
      <xdr:sp macro="" textlink="">
        <xdr:nvSpPr>
          <xdr:cNvPr id="418" name="Line 470">
            <a:extLst>
              <a:ext uri="{FF2B5EF4-FFF2-40B4-BE49-F238E27FC236}">
                <a16:creationId xmlns:a16="http://schemas.microsoft.com/office/drawing/2014/main" id="{00000000-0008-0000-0000-0000A2010000}"/>
              </a:ext>
            </a:extLst>
          </xdr:cNvPr>
          <xdr:cNvSpPr>
            <a:spLocks noChangeShapeType="1"/>
          </xdr:cNvSpPr>
        </xdr:nvSpPr>
        <xdr:spPr bwMode="auto">
          <a:xfrm>
            <a:off x="9134475" y="14754225"/>
            <a:ext cx="228600" cy="0"/>
          </a:xfrm>
          <a:prstGeom prst="line">
            <a:avLst/>
          </a:prstGeom>
          <a:noFill/>
          <a:ln w="9525">
            <a:solidFill>
              <a:srgbClr val="000000"/>
            </a:solidFill>
            <a:round/>
            <a:headEnd/>
            <a:tailEnd/>
          </a:ln>
        </xdr:spPr>
      </xdr:sp>
      <xdr:sp macro="" textlink="">
        <xdr:nvSpPr>
          <xdr:cNvPr id="419" name="Line 471">
            <a:extLst>
              <a:ext uri="{FF2B5EF4-FFF2-40B4-BE49-F238E27FC236}">
                <a16:creationId xmlns:a16="http://schemas.microsoft.com/office/drawing/2014/main" id="{00000000-0008-0000-0000-0000A3010000}"/>
              </a:ext>
            </a:extLst>
          </xdr:cNvPr>
          <xdr:cNvSpPr>
            <a:spLocks noChangeShapeType="1"/>
          </xdr:cNvSpPr>
        </xdr:nvSpPr>
        <xdr:spPr bwMode="auto">
          <a:xfrm rot="-5400000">
            <a:off x="9172575" y="14868525"/>
            <a:ext cx="228600" cy="0"/>
          </a:xfrm>
          <a:prstGeom prst="line">
            <a:avLst/>
          </a:prstGeom>
          <a:noFill/>
          <a:ln w="9525">
            <a:solidFill>
              <a:srgbClr val="000000"/>
            </a:solidFill>
            <a:round/>
            <a:headEnd/>
            <a:tailEnd/>
          </a:ln>
        </xdr:spPr>
      </xdr:sp>
      <xdr:sp macro="" textlink="">
        <xdr:nvSpPr>
          <xdr:cNvPr id="420" name="Line 472">
            <a:extLst>
              <a:ext uri="{FF2B5EF4-FFF2-40B4-BE49-F238E27FC236}">
                <a16:creationId xmlns:a16="http://schemas.microsoft.com/office/drawing/2014/main" id="{00000000-0008-0000-0000-0000A4010000}"/>
              </a:ext>
            </a:extLst>
          </xdr:cNvPr>
          <xdr:cNvSpPr>
            <a:spLocks noChangeShapeType="1"/>
          </xdr:cNvSpPr>
        </xdr:nvSpPr>
        <xdr:spPr bwMode="auto">
          <a:xfrm rot="-5400000">
            <a:off x="9286875" y="14630400"/>
            <a:ext cx="714375" cy="9525"/>
          </a:xfrm>
          <a:prstGeom prst="line">
            <a:avLst/>
          </a:prstGeom>
          <a:noFill/>
          <a:ln w="9525">
            <a:solidFill>
              <a:srgbClr val="000000"/>
            </a:solidFill>
            <a:round/>
            <a:headEnd/>
            <a:tailEnd/>
          </a:ln>
        </xdr:spPr>
      </xdr:sp>
      <xdr:sp macro="" textlink="">
        <xdr:nvSpPr>
          <xdr:cNvPr id="421" name="Line 473">
            <a:extLst>
              <a:ext uri="{FF2B5EF4-FFF2-40B4-BE49-F238E27FC236}">
                <a16:creationId xmlns:a16="http://schemas.microsoft.com/office/drawing/2014/main" id="{00000000-0008-0000-0000-0000A5010000}"/>
              </a:ext>
            </a:extLst>
          </xdr:cNvPr>
          <xdr:cNvSpPr>
            <a:spLocks noChangeShapeType="1"/>
          </xdr:cNvSpPr>
        </xdr:nvSpPr>
        <xdr:spPr bwMode="auto">
          <a:xfrm rot="-5400000">
            <a:off x="8558213" y="14635162"/>
            <a:ext cx="723900" cy="9525"/>
          </a:xfrm>
          <a:prstGeom prst="line">
            <a:avLst/>
          </a:prstGeom>
          <a:noFill/>
          <a:ln w="9525">
            <a:solidFill>
              <a:srgbClr val="000000"/>
            </a:solidFill>
            <a:round/>
            <a:headEnd/>
            <a:tailEnd/>
          </a:ln>
        </xdr:spPr>
      </xdr:sp>
      <xdr:sp macro="" textlink="">
        <xdr:nvSpPr>
          <xdr:cNvPr id="422" name="Line 474">
            <a:extLst>
              <a:ext uri="{FF2B5EF4-FFF2-40B4-BE49-F238E27FC236}">
                <a16:creationId xmlns:a16="http://schemas.microsoft.com/office/drawing/2014/main" id="{00000000-0008-0000-0000-0000A6010000}"/>
              </a:ext>
            </a:extLst>
          </xdr:cNvPr>
          <xdr:cNvSpPr>
            <a:spLocks noChangeShapeType="1"/>
          </xdr:cNvSpPr>
        </xdr:nvSpPr>
        <xdr:spPr bwMode="auto">
          <a:xfrm>
            <a:off x="8924925" y="14982825"/>
            <a:ext cx="714375" cy="9525"/>
          </a:xfrm>
          <a:prstGeom prst="line">
            <a:avLst/>
          </a:prstGeom>
          <a:noFill/>
          <a:ln w="9525">
            <a:solidFill>
              <a:srgbClr val="000000"/>
            </a:solidFill>
            <a:round/>
            <a:headEnd/>
            <a:tailEnd/>
          </a:ln>
        </xdr:spPr>
      </xdr:sp>
      <xdr:sp macro="" textlink="">
        <xdr:nvSpPr>
          <xdr:cNvPr id="423" name="Line 475">
            <a:extLst>
              <a:ext uri="{FF2B5EF4-FFF2-40B4-BE49-F238E27FC236}">
                <a16:creationId xmlns:a16="http://schemas.microsoft.com/office/drawing/2014/main" id="{00000000-0008-0000-0000-0000A7010000}"/>
              </a:ext>
            </a:extLst>
          </xdr:cNvPr>
          <xdr:cNvSpPr>
            <a:spLocks noChangeShapeType="1"/>
          </xdr:cNvSpPr>
        </xdr:nvSpPr>
        <xdr:spPr bwMode="auto">
          <a:xfrm rot="2265785">
            <a:off x="8924925" y="14516100"/>
            <a:ext cx="0" cy="114300"/>
          </a:xfrm>
          <a:prstGeom prst="line">
            <a:avLst/>
          </a:prstGeom>
          <a:noFill/>
          <a:ln w="9525">
            <a:solidFill>
              <a:srgbClr val="000000"/>
            </a:solidFill>
            <a:round/>
            <a:headEnd/>
            <a:tailEnd/>
          </a:ln>
        </xdr:spPr>
      </xdr:sp>
      <xdr:sp macro="" textlink="">
        <xdr:nvSpPr>
          <xdr:cNvPr id="424" name="Line 476">
            <a:extLst>
              <a:ext uri="{FF2B5EF4-FFF2-40B4-BE49-F238E27FC236}">
                <a16:creationId xmlns:a16="http://schemas.microsoft.com/office/drawing/2014/main" id="{00000000-0008-0000-0000-0000A8010000}"/>
              </a:ext>
            </a:extLst>
          </xdr:cNvPr>
          <xdr:cNvSpPr>
            <a:spLocks noChangeShapeType="1"/>
          </xdr:cNvSpPr>
        </xdr:nvSpPr>
        <xdr:spPr bwMode="auto">
          <a:xfrm rot="2265785">
            <a:off x="9448800" y="14525625"/>
            <a:ext cx="0" cy="114300"/>
          </a:xfrm>
          <a:prstGeom prst="line">
            <a:avLst/>
          </a:prstGeom>
          <a:noFill/>
          <a:ln w="9525">
            <a:solidFill>
              <a:srgbClr val="000000"/>
            </a:solidFill>
            <a:round/>
            <a:headEnd/>
            <a:tailEnd/>
          </a:ln>
        </xdr:spPr>
      </xdr:sp>
      <xdr:sp macro="" textlink="">
        <xdr:nvSpPr>
          <xdr:cNvPr id="425" name="Line 477">
            <a:extLst>
              <a:ext uri="{FF2B5EF4-FFF2-40B4-BE49-F238E27FC236}">
                <a16:creationId xmlns:a16="http://schemas.microsoft.com/office/drawing/2014/main" id="{00000000-0008-0000-0000-0000A9010000}"/>
              </a:ext>
            </a:extLst>
          </xdr:cNvPr>
          <xdr:cNvSpPr>
            <a:spLocks noChangeShapeType="1"/>
          </xdr:cNvSpPr>
        </xdr:nvSpPr>
        <xdr:spPr bwMode="auto">
          <a:xfrm rot="2265785">
            <a:off x="9134475" y="14516100"/>
            <a:ext cx="0" cy="114300"/>
          </a:xfrm>
          <a:prstGeom prst="line">
            <a:avLst/>
          </a:prstGeom>
          <a:noFill/>
          <a:ln w="9525">
            <a:solidFill>
              <a:srgbClr val="000000"/>
            </a:solidFill>
            <a:round/>
            <a:headEnd/>
            <a:tailEnd/>
          </a:ln>
        </xdr:spPr>
      </xdr:sp>
      <xdr:sp macro="" textlink="">
        <xdr:nvSpPr>
          <xdr:cNvPr id="426" name="Line 478">
            <a:extLst>
              <a:ext uri="{FF2B5EF4-FFF2-40B4-BE49-F238E27FC236}">
                <a16:creationId xmlns:a16="http://schemas.microsoft.com/office/drawing/2014/main" id="{00000000-0008-0000-0000-0000AA010000}"/>
              </a:ext>
            </a:extLst>
          </xdr:cNvPr>
          <xdr:cNvSpPr>
            <a:spLocks noChangeShapeType="1"/>
          </xdr:cNvSpPr>
        </xdr:nvSpPr>
        <xdr:spPr bwMode="auto">
          <a:xfrm rot="2265785">
            <a:off x="9648825" y="14525625"/>
            <a:ext cx="0" cy="114300"/>
          </a:xfrm>
          <a:prstGeom prst="line">
            <a:avLst/>
          </a:prstGeom>
          <a:noFill/>
          <a:ln w="9525">
            <a:solidFill>
              <a:srgbClr val="000000"/>
            </a:solidFill>
            <a:round/>
            <a:headEnd/>
            <a:tailEnd/>
          </a:ln>
        </xdr:spPr>
      </xdr:sp>
      <xdr:sp macro="" textlink="">
        <xdr:nvSpPr>
          <xdr:cNvPr id="427" name="Line 479">
            <a:extLst>
              <a:ext uri="{FF2B5EF4-FFF2-40B4-BE49-F238E27FC236}">
                <a16:creationId xmlns:a16="http://schemas.microsoft.com/office/drawing/2014/main" id="{00000000-0008-0000-0000-0000AB010000}"/>
              </a:ext>
            </a:extLst>
          </xdr:cNvPr>
          <xdr:cNvSpPr>
            <a:spLocks noChangeShapeType="1"/>
          </xdr:cNvSpPr>
        </xdr:nvSpPr>
        <xdr:spPr bwMode="auto">
          <a:xfrm rot="2265785">
            <a:off x="9286875" y="14811375"/>
            <a:ext cx="0" cy="114300"/>
          </a:xfrm>
          <a:prstGeom prst="line">
            <a:avLst/>
          </a:prstGeom>
          <a:noFill/>
          <a:ln w="9525">
            <a:solidFill>
              <a:srgbClr val="000000"/>
            </a:solidFill>
            <a:round/>
            <a:headEnd/>
            <a:tailEnd/>
          </a:ln>
        </xdr:spPr>
      </xdr:sp>
      <xdr:sp macro="" textlink="">
        <xdr:nvSpPr>
          <xdr:cNvPr id="428" name="Line 480">
            <a:extLst>
              <a:ext uri="{FF2B5EF4-FFF2-40B4-BE49-F238E27FC236}">
                <a16:creationId xmlns:a16="http://schemas.microsoft.com/office/drawing/2014/main" id="{00000000-0008-0000-0000-0000AC010000}"/>
              </a:ext>
            </a:extLst>
          </xdr:cNvPr>
          <xdr:cNvSpPr>
            <a:spLocks noChangeShapeType="1"/>
          </xdr:cNvSpPr>
        </xdr:nvSpPr>
        <xdr:spPr bwMode="auto">
          <a:xfrm rot="-3134215">
            <a:off x="9296400" y="14820900"/>
            <a:ext cx="0" cy="114300"/>
          </a:xfrm>
          <a:prstGeom prst="line">
            <a:avLst/>
          </a:prstGeom>
          <a:noFill/>
          <a:ln w="9525">
            <a:solidFill>
              <a:srgbClr val="000000"/>
            </a:solidFill>
            <a:round/>
            <a:headEnd/>
            <a:tailEnd/>
          </a:ln>
        </xdr:spPr>
      </xdr:sp>
    </xdr:grpSp>
    <xdr:clientData/>
  </xdr:twoCellAnchor>
  <xdr:twoCellAnchor>
    <xdr:from>
      <xdr:col>4</xdr:col>
      <xdr:colOff>358140</xdr:colOff>
      <xdr:row>30</xdr:row>
      <xdr:rowOff>152400</xdr:rowOff>
    </xdr:from>
    <xdr:to>
      <xdr:col>4</xdr:col>
      <xdr:colOff>1386840</xdr:colOff>
      <xdr:row>30</xdr:row>
      <xdr:rowOff>914400</xdr:rowOff>
    </xdr:to>
    <xdr:grpSp>
      <xdr:nvGrpSpPr>
        <xdr:cNvPr id="429" name="Group 428">
          <a:extLst>
            <a:ext uri="{FF2B5EF4-FFF2-40B4-BE49-F238E27FC236}">
              <a16:creationId xmlns:a16="http://schemas.microsoft.com/office/drawing/2014/main" id="{00000000-0008-0000-0000-0000AD010000}"/>
            </a:ext>
          </a:extLst>
        </xdr:cNvPr>
        <xdr:cNvGrpSpPr/>
      </xdr:nvGrpSpPr>
      <xdr:grpSpPr>
        <a:xfrm>
          <a:off x="7311390" y="16834757"/>
          <a:ext cx="1028700" cy="762000"/>
          <a:chOff x="8782050" y="14277975"/>
          <a:chExt cx="1028700" cy="723900"/>
        </a:xfrm>
      </xdr:grpSpPr>
      <xdr:sp macro="" textlink="">
        <xdr:nvSpPr>
          <xdr:cNvPr id="430" name="Line 463">
            <a:extLst>
              <a:ext uri="{FF2B5EF4-FFF2-40B4-BE49-F238E27FC236}">
                <a16:creationId xmlns:a16="http://schemas.microsoft.com/office/drawing/2014/main" id="{00000000-0008-0000-0000-0000AE010000}"/>
              </a:ext>
            </a:extLst>
          </xdr:cNvPr>
          <xdr:cNvSpPr>
            <a:spLocks noChangeShapeType="1"/>
          </xdr:cNvSpPr>
        </xdr:nvSpPr>
        <xdr:spPr bwMode="auto">
          <a:xfrm flipV="1">
            <a:off x="8791575" y="14297025"/>
            <a:ext cx="457200" cy="0"/>
          </a:xfrm>
          <a:prstGeom prst="line">
            <a:avLst/>
          </a:prstGeom>
          <a:noFill/>
          <a:ln w="28575">
            <a:solidFill>
              <a:srgbClr val="000000"/>
            </a:solidFill>
            <a:round/>
            <a:headEnd/>
            <a:tailEnd/>
          </a:ln>
        </xdr:spPr>
      </xdr:sp>
      <xdr:sp macro="" textlink="">
        <xdr:nvSpPr>
          <xdr:cNvPr id="431" name="Line 464">
            <a:extLst>
              <a:ext uri="{FF2B5EF4-FFF2-40B4-BE49-F238E27FC236}">
                <a16:creationId xmlns:a16="http://schemas.microsoft.com/office/drawing/2014/main" id="{00000000-0008-0000-0000-0000AF010000}"/>
              </a:ext>
            </a:extLst>
          </xdr:cNvPr>
          <xdr:cNvSpPr>
            <a:spLocks noChangeShapeType="1"/>
          </xdr:cNvSpPr>
        </xdr:nvSpPr>
        <xdr:spPr bwMode="auto">
          <a:xfrm flipV="1">
            <a:off x="8782050" y="14430375"/>
            <a:ext cx="457200" cy="0"/>
          </a:xfrm>
          <a:prstGeom prst="line">
            <a:avLst/>
          </a:prstGeom>
          <a:noFill/>
          <a:ln w="28575">
            <a:solidFill>
              <a:srgbClr val="000000"/>
            </a:solidFill>
            <a:round/>
            <a:headEnd/>
            <a:tailEnd/>
          </a:ln>
        </xdr:spPr>
      </xdr:sp>
      <xdr:sp macro="" textlink="">
        <xdr:nvSpPr>
          <xdr:cNvPr id="432" name="Line 465">
            <a:extLst>
              <a:ext uri="{FF2B5EF4-FFF2-40B4-BE49-F238E27FC236}">
                <a16:creationId xmlns:a16="http://schemas.microsoft.com/office/drawing/2014/main" id="{00000000-0008-0000-0000-0000B0010000}"/>
              </a:ext>
            </a:extLst>
          </xdr:cNvPr>
          <xdr:cNvSpPr>
            <a:spLocks noChangeShapeType="1"/>
          </xdr:cNvSpPr>
        </xdr:nvSpPr>
        <xdr:spPr bwMode="auto">
          <a:xfrm flipV="1">
            <a:off x="9353550" y="14297025"/>
            <a:ext cx="457200" cy="0"/>
          </a:xfrm>
          <a:prstGeom prst="line">
            <a:avLst/>
          </a:prstGeom>
          <a:noFill/>
          <a:ln w="28575">
            <a:solidFill>
              <a:srgbClr val="000000"/>
            </a:solidFill>
            <a:round/>
            <a:headEnd/>
            <a:tailEnd/>
          </a:ln>
        </xdr:spPr>
      </xdr:sp>
      <xdr:sp macro="" textlink="">
        <xdr:nvSpPr>
          <xdr:cNvPr id="433" name="Line 466">
            <a:extLst>
              <a:ext uri="{FF2B5EF4-FFF2-40B4-BE49-F238E27FC236}">
                <a16:creationId xmlns:a16="http://schemas.microsoft.com/office/drawing/2014/main" id="{00000000-0008-0000-0000-0000B1010000}"/>
              </a:ext>
            </a:extLst>
          </xdr:cNvPr>
          <xdr:cNvSpPr>
            <a:spLocks noChangeShapeType="1"/>
          </xdr:cNvSpPr>
        </xdr:nvSpPr>
        <xdr:spPr bwMode="auto">
          <a:xfrm flipV="1">
            <a:off x="9344025" y="14430375"/>
            <a:ext cx="457200" cy="0"/>
          </a:xfrm>
          <a:prstGeom prst="line">
            <a:avLst/>
          </a:prstGeom>
          <a:noFill/>
          <a:ln w="28575">
            <a:solidFill>
              <a:srgbClr val="000000"/>
            </a:solidFill>
            <a:round/>
            <a:headEnd/>
            <a:tailEnd/>
          </a:ln>
        </xdr:spPr>
      </xdr:sp>
      <xdr:sp macro="" textlink="">
        <xdr:nvSpPr>
          <xdr:cNvPr id="434" name="Line 467">
            <a:extLst>
              <a:ext uri="{FF2B5EF4-FFF2-40B4-BE49-F238E27FC236}">
                <a16:creationId xmlns:a16="http://schemas.microsoft.com/office/drawing/2014/main" id="{00000000-0008-0000-0000-0000B2010000}"/>
              </a:ext>
            </a:extLst>
          </xdr:cNvPr>
          <xdr:cNvSpPr>
            <a:spLocks noChangeShapeType="1"/>
          </xdr:cNvSpPr>
        </xdr:nvSpPr>
        <xdr:spPr bwMode="auto">
          <a:xfrm>
            <a:off x="9439275" y="14420850"/>
            <a:ext cx="0" cy="342900"/>
          </a:xfrm>
          <a:prstGeom prst="line">
            <a:avLst/>
          </a:prstGeom>
          <a:noFill/>
          <a:ln w="9525">
            <a:solidFill>
              <a:srgbClr val="000000"/>
            </a:solidFill>
            <a:round/>
            <a:headEnd/>
            <a:tailEnd/>
          </a:ln>
        </xdr:spPr>
      </xdr:sp>
      <xdr:sp macro="" textlink="">
        <xdr:nvSpPr>
          <xdr:cNvPr id="435" name="Line 468">
            <a:extLst>
              <a:ext uri="{FF2B5EF4-FFF2-40B4-BE49-F238E27FC236}">
                <a16:creationId xmlns:a16="http://schemas.microsoft.com/office/drawing/2014/main" id="{00000000-0008-0000-0000-0000B3010000}"/>
              </a:ext>
            </a:extLst>
          </xdr:cNvPr>
          <xdr:cNvSpPr>
            <a:spLocks noChangeShapeType="1"/>
          </xdr:cNvSpPr>
        </xdr:nvSpPr>
        <xdr:spPr bwMode="auto">
          <a:xfrm>
            <a:off x="9134475" y="14420850"/>
            <a:ext cx="0" cy="342900"/>
          </a:xfrm>
          <a:prstGeom prst="line">
            <a:avLst/>
          </a:prstGeom>
          <a:noFill/>
          <a:ln w="9525">
            <a:solidFill>
              <a:srgbClr val="000000"/>
            </a:solidFill>
            <a:round/>
            <a:headEnd/>
            <a:tailEnd/>
          </a:ln>
        </xdr:spPr>
      </xdr:sp>
      <xdr:sp macro="" textlink="">
        <xdr:nvSpPr>
          <xdr:cNvPr id="436" name="Line 469">
            <a:extLst>
              <a:ext uri="{FF2B5EF4-FFF2-40B4-BE49-F238E27FC236}">
                <a16:creationId xmlns:a16="http://schemas.microsoft.com/office/drawing/2014/main" id="{00000000-0008-0000-0000-0000B4010000}"/>
              </a:ext>
            </a:extLst>
          </xdr:cNvPr>
          <xdr:cNvSpPr>
            <a:spLocks noChangeShapeType="1"/>
          </xdr:cNvSpPr>
        </xdr:nvSpPr>
        <xdr:spPr bwMode="auto">
          <a:xfrm>
            <a:off x="9201150" y="14754225"/>
            <a:ext cx="228600" cy="9525"/>
          </a:xfrm>
          <a:prstGeom prst="line">
            <a:avLst/>
          </a:prstGeom>
          <a:noFill/>
          <a:ln w="9525">
            <a:solidFill>
              <a:srgbClr val="000000"/>
            </a:solidFill>
            <a:round/>
            <a:headEnd/>
            <a:tailEnd/>
          </a:ln>
        </xdr:spPr>
      </xdr:sp>
      <xdr:sp macro="" textlink="">
        <xdr:nvSpPr>
          <xdr:cNvPr id="437" name="Line 470">
            <a:extLst>
              <a:ext uri="{FF2B5EF4-FFF2-40B4-BE49-F238E27FC236}">
                <a16:creationId xmlns:a16="http://schemas.microsoft.com/office/drawing/2014/main" id="{00000000-0008-0000-0000-0000B5010000}"/>
              </a:ext>
            </a:extLst>
          </xdr:cNvPr>
          <xdr:cNvSpPr>
            <a:spLocks noChangeShapeType="1"/>
          </xdr:cNvSpPr>
        </xdr:nvSpPr>
        <xdr:spPr bwMode="auto">
          <a:xfrm>
            <a:off x="9134475" y="14754225"/>
            <a:ext cx="228600" cy="0"/>
          </a:xfrm>
          <a:prstGeom prst="line">
            <a:avLst/>
          </a:prstGeom>
          <a:noFill/>
          <a:ln w="9525">
            <a:solidFill>
              <a:srgbClr val="000000"/>
            </a:solidFill>
            <a:round/>
            <a:headEnd/>
            <a:tailEnd/>
          </a:ln>
        </xdr:spPr>
      </xdr:sp>
      <xdr:sp macro="" textlink="">
        <xdr:nvSpPr>
          <xdr:cNvPr id="438" name="Line 471">
            <a:extLst>
              <a:ext uri="{FF2B5EF4-FFF2-40B4-BE49-F238E27FC236}">
                <a16:creationId xmlns:a16="http://schemas.microsoft.com/office/drawing/2014/main" id="{00000000-0008-0000-0000-0000B6010000}"/>
              </a:ext>
            </a:extLst>
          </xdr:cNvPr>
          <xdr:cNvSpPr>
            <a:spLocks noChangeShapeType="1"/>
          </xdr:cNvSpPr>
        </xdr:nvSpPr>
        <xdr:spPr bwMode="auto">
          <a:xfrm rot="-5400000">
            <a:off x="9172575" y="14868525"/>
            <a:ext cx="228600" cy="0"/>
          </a:xfrm>
          <a:prstGeom prst="line">
            <a:avLst/>
          </a:prstGeom>
          <a:noFill/>
          <a:ln w="9525">
            <a:solidFill>
              <a:srgbClr val="000000"/>
            </a:solidFill>
            <a:round/>
            <a:headEnd/>
            <a:tailEnd/>
          </a:ln>
        </xdr:spPr>
      </xdr:sp>
      <xdr:sp macro="" textlink="">
        <xdr:nvSpPr>
          <xdr:cNvPr id="439" name="Line 472">
            <a:extLst>
              <a:ext uri="{FF2B5EF4-FFF2-40B4-BE49-F238E27FC236}">
                <a16:creationId xmlns:a16="http://schemas.microsoft.com/office/drawing/2014/main" id="{00000000-0008-0000-0000-0000B7010000}"/>
              </a:ext>
            </a:extLst>
          </xdr:cNvPr>
          <xdr:cNvSpPr>
            <a:spLocks noChangeShapeType="1"/>
          </xdr:cNvSpPr>
        </xdr:nvSpPr>
        <xdr:spPr bwMode="auto">
          <a:xfrm rot="-5400000">
            <a:off x="9286875" y="14630400"/>
            <a:ext cx="714375" cy="9525"/>
          </a:xfrm>
          <a:prstGeom prst="line">
            <a:avLst/>
          </a:prstGeom>
          <a:noFill/>
          <a:ln w="9525">
            <a:solidFill>
              <a:srgbClr val="000000"/>
            </a:solidFill>
            <a:round/>
            <a:headEnd/>
            <a:tailEnd/>
          </a:ln>
        </xdr:spPr>
      </xdr:sp>
      <xdr:sp macro="" textlink="">
        <xdr:nvSpPr>
          <xdr:cNvPr id="440" name="Line 473">
            <a:extLst>
              <a:ext uri="{FF2B5EF4-FFF2-40B4-BE49-F238E27FC236}">
                <a16:creationId xmlns:a16="http://schemas.microsoft.com/office/drawing/2014/main" id="{00000000-0008-0000-0000-0000B8010000}"/>
              </a:ext>
            </a:extLst>
          </xdr:cNvPr>
          <xdr:cNvSpPr>
            <a:spLocks noChangeShapeType="1"/>
          </xdr:cNvSpPr>
        </xdr:nvSpPr>
        <xdr:spPr bwMode="auto">
          <a:xfrm rot="-5400000">
            <a:off x="8558213" y="14635162"/>
            <a:ext cx="723900" cy="9525"/>
          </a:xfrm>
          <a:prstGeom prst="line">
            <a:avLst/>
          </a:prstGeom>
          <a:noFill/>
          <a:ln w="9525">
            <a:solidFill>
              <a:srgbClr val="000000"/>
            </a:solidFill>
            <a:round/>
            <a:headEnd/>
            <a:tailEnd/>
          </a:ln>
        </xdr:spPr>
      </xdr:sp>
      <xdr:sp macro="" textlink="">
        <xdr:nvSpPr>
          <xdr:cNvPr id="441" name="Line 474">
            <a:extLst>
              <a:ext uri="{FF2B5EF4-FFF2-40B4-BE49-F238E27FC236}">
                <a16:creationId xmlns:a16="http://schemas.microsoft.com/office/drawing/2014/main" id="{00000000-0008-0000-0000-0000B9010000}"/>
              </a:ext>
            </a:extLst>
          </xdr:cNvPr>
          <xdr:cNvSpPr>
            <a:spLocks noChangeShapeType="1"/>
          </xdr:cNvSpPr>
        </xdr:nvSpPr>
        <xdr:spPr bwMode="auto">
          <a:xfrm>
            <a:off x="8924925" y="14982825"/>
            <a:ext cx="714375" cy="9525"/>
          </a:xfrm>
          <a:prstGeom prst="line">
            <a:avLst/>
          </a:prstGeom>
          <a:noFill/>
          <a:ln w="9525">
            <a:solidFill>
              <a:srgbClr val="000000"/>
            </a:solidFill>
            <a:round/>
            <a:headEnd/>
            <a:tailEnd/>
          </a:ln>
        </xdr:spPr>
      </xdr:sp>
      <xdr:sp macro="" textlink="">
        <xdr:nvSpPr>
          <xdr:cNvPr id="442" name="Line 475">
            <a:extLst>
              <a:ext uri="{FF2B5EF4-FFF2-40B4-BE49-F238E27FC236}">
                <a16:creationId xmlns:a16="http://schemas.microsoft.com/office/drawing/2014/main" id="{00000000-0008-0000-0000-0000BA010000}"/>
              </a:ext>
            </a:extLst>
          </xdr:cNvPr>
          <xdr:cNvSpPr>
            <a:spLocks noChangeShapeType="1"/>
          </xdr:cNvSpPr>
        </xdr:nvSpPr>
        <xdr:spPr bwMode="auto">
          <a:xfrm rot="2265785">
            <a:off x="8924925" y="14516100"/>
            <a:ext cx="0" cy="114300"/>
          </a:xfrm>
          <a:prstGeom prst="line">
            <a:avLst/>
          </a:prstGeom>
          <a:noFill/>
          <a:ln w="9525">
            <a:solidFill>
              <a:srgbClr val="000000"/>
            </a:solidFill>
            <a:round/>
            <a:headEnd/>
            <a:tailEnd/>
          </a:ln>
        </xdr:spPr>
      </xdr:sp>
      <xdr:sp macro="" textlink="">
        <xdr:nvSpPr>
          <xdr:cNvPr id="443" name="Line 476">
            <a:extLst>
              <a:ext uri="{FF2B5EF4-FFF2-40B4-BE49-F238E27FC236}">
                <a16:creationId xmlns:a16="http://schemas.microsoft.com/office/drawing/2014/main" id="{00000000-0008-0000-0000-0000BB010000}"/>
              </a:ext>
            </a:extLst>
          </xdr:cNvPr>
          <xdr:cNvSpPr>
            <a:spLocks noChangeShapeType="1"/>
          </xdr:cNvSpPr>
        </xdr:nvSpPr>
        <xdr:spPr bwMode="auto">
          <a:xfrm rot="2265785">
            <a:off x="9448800" y="14525625"/>
            <a:ext cx="0" cy="114300"/>
          </a:xfrm>
          <a:prstGeom prst="line">
            <a:avLst/>
          </a:prstGeom>
          <a:noFill/>
          <a:ln w="9525">
            <a:solidFill>
              <a:srgbClr val="000000"/>
            </a:solidFill>
            <a:round/>
            <a:headEnd/>
            <a:tailEnd/>
          </a:ln>
        </xdr:spPr>
      </xdr:sp>
      <xdr:sp macro="" textlink="">
        <xdr:nvSpPr>
          <xdr:cNvPr id="444" name="Line 477">
            <a:extLst>
              <a:ext uri="{FF2B5EF4-FFF2-40B4-BE49-F238E27FC236}">
                <a16:creationId xmlns:a16="http://schemas.microsoft.com/office/drawing/2014/main" id="{00000000-0008-0000-0000-0000BC010000}"/>
              </a:ext>
            </a:extLst>
          </xdr:cNvPr>
          <xdr:cNvSpPr>
            <a:spLocks noChangeShapeType="1"/>
          </xdr:cNvSpPr>
        </xdr:nvSpPr>
        <xdr:spPr bwMode="auto">
          <a:xfrm rot="2265785">
            <a:off x="9134475" y="14516100"/>
            <a:ext cx="0" cy="114300"/>
          </a:xfrm>
          <a:prstGeom prst="line">
            <a:avLst/>
          </a:prstGeom>
          <a:noFill/>
          <a:ln w="9525">
            <a:solidFill>
              <a:srgbClr val="000000"/>
            </a:solidFill>
            <a:round/>
            <a:headEnd/>
            <a:tailEnd/>
          </a:ln>
        </xdr:spPr>
      </xdr:sp>
      <xdr:sp macro="" textlink="">
        <xdr:nvSpPr>
          <xdr:cNvPr id="445" name="Line 478">
            <a:extLst>
              <a:ext uri="{FF2B5EF4-FFF2-40B4-BE49-F238E27FC236}">
                <a16:creationId xmlns:a16="http://schemas.microsoft.com/office/drawing/2014/main" id="{00000000-0008-0000-0000-0000BD010000}"/>
              </a:ext>
            </a:extLst>
          </xdr:cNvPr>
          <xdr:cNvSpPr>
            <a:spLocks noChangeShapeType="1"/>
          </xdr:cNvSpPr>
        </xdr:nvSpPr>
        <xdr:spPr bwMode="auto">
          <a:xfrm rot="2265785">
            <a:off x="9648825" y="14525625"/>
            <a:ext cx="0" cy="114300"/>
          </a:xfrm>
          <a:prstGeom prst="line">
            <a:avLst/>
          </a:prstGeom>
          <a:noFill/>
          <a:ln w="9525">
            <a:solidFill>
              <a:srgbClr val="000000"/>
            </a:solidFill>
            <a:round/>
            <a:headEnd/>
            <a:tailEnd/>
          </a:ln>
        </xdr:spPr>
      </xdr:sp>
      <xdr:sp macro="" textlink="">
        <xdr:nvSpPr>
          <xdr:cNvPr id="446" name="Line 479">
            <a:extLst>
              <a:ext uri="{FF2B5EF4-FFF2-40B4-BE49-F238E27FC236}">
                <a16:creationId xmlns:a16="http://schemas.microsoft.com/office/drawing/2014/main" id="{00000000-0008-0000-0000-0000BE010000}"/>
              </a:ext>
            </a:extLst>
          </xdr:cNvPr>
          <xdr:cNvSpPr>
            <a:spLocks noChangeShapeType="1"/>
          </xdr:cNvSpPr>
        </xdr:nvSpPr>
        <xdr:spPr bwMode="auto">
          <a:xfrm rot="2265785">
            <a:off x="9286875" y="14811375"/>
            <a:ext cx="0" cy="114300"/>
          </a:xfrm>
          <a:prstGeom prst="line">
            <a:avLst/>
          </a:prstGeom>
          <a:noFill/>
          <a:ln w="9525">
            <a:solidFill>
              <a:srgbClr val="000000"/>
            </a:solidFill>
            <a:round/>
            <a:headEnd/>
            <a:tailEnd/>
          </a:ln>
        </xdr:spPr>
      </xdr:sp>
      <xdr:sp macro="" textlink="">
        <xdr:nvSpPr>
          <xdr:cNvPr id="447" name="Line 480">
            <a:extLst>
              <a:ext uri="{FF2B5EF4-FFF2-40B4-BE49-F238E27FC236}">
                <a16:creationId xmlns:a16="http://schemas.microsoft.com/office/drawing/2014/main" id="{00000000-0008-0000-0000-0000BF010000}"/>
              </a:ext>
            </a:extLst>
          </xdr:cNvPr>
          <xdr:cNvSpPr>
            <a:spLocks noChangeShapeType="1"/>
          </xdr:cNvSpPr>
        </xdr:nvSpPr>
        <xdr:spPr bwMode="auto">
          <a:xfrm rot="-3134215">
            <a:off x="9296400" y="14820900"/>
            <a:ext cx="0" cy="114300"/>
          </a:xfrm>
          <a:prstGeom prst="line">
            <a:avLst/>
          </a:prstGeom>
          <a:noFill/>
          <a:ln w="9525">
            <a:solidFill>
              <a:srgbClr val="000000"/>
            </a:solidFill>
            <a:round/>
            <a:headEnd/>
            <a:tailEnd/>
          </a:ln>
        </xdr:spPr>
      </xdr:sp>
    </xdr:grpSp>
    <xdr:clientData/>
  </xdr:twoCellAnchor>
  <xdr:twoCellAnchor>
    <xdr:from>
      <xdr:col>1</xdr:col>
      <xdr:colOff>95250</xdr:colOff>
      <xdr:row>179</xdr:row>
      <xdr:rowOff>123825</xdr:rowOff>
    </xdr:from>
    <xdr:to>
      <xdr:col>1</xdr:col>
      <xdr:colOff>2209800</xdr:colOff>
      <xdr:row>179</xdr:row>
      <xdr:rowOff>771525</xdr:rowOff>
    </xdr:to>
    <xdr:grpSp>
      <xdr:nvGrpSpPr>
        <xdr:cNvPr id="505" name="Group 504">
          <a:extLst>
            <a:ext uri="{FF2B5EF4-FFF2-40B4-BE49-F238E27FC236}">
              <a16:creationId xmlns:a16="http://schemas.microsoft.com/office/drawing/2014/main" id="{00000000-0008-0000-0000-0000F9010000}"/>
            </a:ext>
          </a:extLst>
        </xdr:cNvPr>
        <xdr:cNvGrpSpPr/>
      </xdr:nvGrpSpPr>
      <xdr:grpSpPr>
        <a:xfrm>
          <a:off x="625929" y="117077218"/>
          <a:ext cx="2114550" cy="647700"/>
          <a:chOff x="2095500" y="116690775"/>
          <a:chExt cx="2114550" cy="628650"/>
        </a:xfrm>
      </xdr:grpSpPr>
      <xdr:grpSp>
        <xdr:nvGrpSpPr>
          <xdr:cNvPr id="506" name="Group 638">
            <a:extLst>
              <a:ext uri="{FF2B5EF4-FFF2-40B4-BE49-F238E27FC236}">
                <a16:creationId xmlns:a16="http://schemas.microsoft.com/office/drawing/2014/main" id="{00000000-0008-0000-0000-0000FA010000}"/>
              </a:ext>
            </a:extLst>
          </xdr:cNvPr>
          <xdr:cNvGrpSpPr/>
        </xdr:nvGrpSpPr>
        <xdr:grpSpPr>
          <a:xfrm>
            <a:off x="2095500" y="116690775"/>
            <a:ext cx="2114550" cy="628650"/>
            <a:chOff x="2095500" y="116690775"/>
            <a:chExt cx="2114550" cy="628650"/>
          </a:xfrm>
        </xdr:grpSpPr>
        <xdr:grpSp>
          <xdr:nvGrpSpPr>
            <xdr:cNvPr id="508" name="Group 634">
              <a:extLst>
                <a:ext uri="{FF2B5EF4-FFF2-40B4-BE49-F238E27FC236}">
                  <a16:creationId xmlns:a16="http://schemas.microsoft.com/office/drawing/2014/main" id="{00000000-0008-0000-0000-0000FC010000}"/>
                </a:ext>
              </a:extLst>
            </xdr:cNvPr>
            <xdr:cNvGrpSpPr/>
          </xdr:nvGrpSpPr>
          <xdr:grpSpPr>
            <a:xfrm>
              <a:off x="2095500" y="116690775"/>
              <a:ext cx="2114550" cy="628650"/>
              <a:chOff x="2095500" y="116690775"/>
              <a:chExt cx="2114550" cy="628650"/>
            </a:xfrm>
          </xdr:grpSpPr>
          <xdr:sp macro="" textlink="">
            <xdr:nvSpPr>
              <xdr:cNvPr id="510" name="Text Box 1015">
                <a:extLst>
                  <a:ext uri="{FF2B5EF4-FFF2-40B4-BE49-F238E27FC236}">
                    <a16:creationId xmlns:a16="http://schemas.microsoft.com/office/drawing/2014/main" id="{00000000-0008-0000-0000-0000FE010000}"/>
                  </a:ext>
                </a:extLst>
              </xdr:cNvPr>
              <xdr:cNvSpPr txBox="1">
                <a:spLocks noChangeArrowheads="1"/>
              </xdr:cNvSpPr>
            </xdr:nvSpPr>
            <xdr:spPr bwMode="auto">
              <a:xfrm>
                <a:off x="2390775" y="116976525"/>
                <a:ext cx="342900" cy="342900"/>
              </a:xfrm>
              <a:prstGeom prst="rect">
                <a:avLst/>
              </a:prstGeom>
              <a:solidFill>
                <a:srgbClr val="FFFFFF"/>
              </a:solidFill>
              <a:ln w="9525">
                <a:noFill/>
                <a:miter lim="800000"/>
                <a:headEnd/>
                <a:tailEnd/>
              </a:ln>
            </xdr:spPr>
            <xdr:txBody>
              <a:bodyPr vertOverflow="clip" wrap="square" lIns="91440" tIns="45720" rIns="91440" bIns="45720" anchor="t" upright="1"/>
              <a:lstStyle/>
              <a:p>
                <a:pPr algn="l" rtl="0">
                  <a:defRPr sz="1000"/>
                </a:pPr>
                <a:r>
                  <a:rPr lang="en-US" sz="1200" b="0" i="0" u="none" strike="noStrike" baseline="0">
                    <a:solidFill>
                      <a:srgbClr val="000000"/>
                    </a:solidFill>
                    <a:latin typeface="Times New Roman"/>
                    <a:cs typeface="Times New Roman"/>
                  </a:rPr>
                  <a:t>S</a:t>
                </a:r>
                <a:r>
                  <a:rPr lang="en-US" sz="900" b="0" i="0" u="none" strike="noStrike" baseline="0">
                    <a:solidFill>
                      <a:srgbClr val="000000"/>
                    </a:solidFill>
                    <a:latin typeface="Times New Roman"/>
                    <a:cs typeface="Times New Roman"/>
                  </a:rPr>
                  <a:t>1</a:t>
                </a:r>
                <a:r>
                  <a:rPr lang="en-US" sz="1200" b="0" i="0" u="none" strike="noStrike" baseline="0">
                    <a:solidFill>
                      <a:srgbClr val="000000"/>
                    </a:solidFill>
                    <a:latin typeface="Times New Roman"/>
                    <a:cs typeface="Times New Roman"/>
                  </a:rPr>
                  <a:t>1</a:t>
                </a:r>
              </a:p>
              <a:p>
                <a:pPr algn="l" rtl="0">
                  <a:defRPr sz="1000"/>
                </a:pPr>
                <a:endParaRPr lang="en-US" sz="1200" b="0" i="0" u="none" strike="noStrike" baseline="0">
                  <a:solidFill>
                    <a:srgbClr val="000000"/>
                  </a:solidFill>
                  <a:latin typeface="Times New Roman"/>
                  <a:cs typeface="Times New Roman"/>
                </a:endParaRPr>
              </a:p>
            </xdr:txBody>
          </xdr:sp>
          <xdr:sp macro="" textlink="">
            <xdr:nvSpPr>
              <xdr:cNvPr id="511" name="Text Box 1016">
                <a:extLst>
                  <a:ext uri="{FF2B5EF4-FFF2-40B4-BE49-F238E27FC236}">
                    <a16:creationId xmlns:a16="http://schemas.microsoft.com/office/drawing/2014/main" id="{00000000-0008-0000-0000-0000FF010000}"/>
                  </a:ext>
                </a:extLst>
              </xdr:cNvPr>
              <xdr:cNvSpPr txBox="1">
                <a:spLocks noChangeArrowheads="1"/>
              </xdr:cNvSpPr>
            </xdr:nvSpPr>
            <xdr:spPr bwMode="auto">
              <a:xfrm>
                <a:off x="2905125" y="116957475"/>
                <a:ext cx="457200" cy="285750"/>
              </a:xfrm>
              <a:prstGeom prst="rect">
                <a:avLst/>
              </a:prstGeom>
              <a:solidFill>
                <a:srgbClr val="FFFFFF"/>
              </a:solidFill>
              <a:ln w="9525">
                <a:noFill/>
                <a:miter lim="800000"/>
                <a:headEnd/>
                <a:tailEnd/>
              </a:ln>
            </xdr:spPr>
            <xdr:txBody>
              <a:bodyPr vertOverflow="clip" wrap="square" lIns="91440" tIns="45720" rIns="91440" bIns="45720" anchor="t" upright="1"/>
              <a:lstStyle/>
              <a:p>
                <a:pPr algn="l" rtl="0">
                  <a:defRPr sz="1000"/>
                </a:pPr>
                <a:r>
                  <a:rPr lang="en-US" sz="1200" b="0" i="0" u="none" strike="noStrike" baseline="0">
                    <a:solidFill>
                      <a:srgbClr val="000000"/>
                    </a:solidFill>
                    <a:latin typeface="Times New Roman"/>
                    <a:cs typeface="Times New Roman"/>
                  </a:rPr>
                  <a:t>S</a:t>
                </a:r>
                <a:r>
                  <a:rPr lang="en-US" sz="900" b="0" i="0" u="none" strike="noStrike" baseline="0">
                    <a:solidFill>
                      <a:srgbClr val="000000"/>
                    </a:solidFill>
                    <a:latin typeface="Times New Roman"/>
                    <a:cs typeface="Times New Roman"/>
                  </a:rPr>
                  <a:t>2</a:t>
                </a:r>
                <a:endParaRPr lang="en-US" sz="1200" b="0" i="0" u="none" strike="noStrike" baseline="0">
                  <a:solidFill>
                    <a:srgbClr val="000000"/>
                  </a:solidFill>
                  <a:latin typeface="Times New Roman"/>
                  <a:cs typeface="Times New Roman"/>
                </a:endParaRPr>
              </a:p>
              <a:p>
                <a:pPr algn="l" rtl="0">
                  <a:defRPr sz="1000"/>
                </a:pPr>
                <a:endParaRPr lang="en-US" sz="1200" b="0" i="0" u="none" strike="noStrike" baseline="0">
                  <a:solidFill>
                    <a:srgbClr val="000000"/>
                  </a:solidFill>
                  <a:latin typeface="Times New Roman"/>
                  <a:cs typeface="Times New Roman"/>
                </a:endParaRPr>
              </a:p>
            </xdr:txBody>
          </xdr:sp>
          <xdr:grpSp>
            <xdr:nvGrpSpPr>
              <xdr:cNvPr id="512" name="Group 633">
                <a:extLst>
                  <a:ext uri="{FF2B5EF4-FFF2-40B4-BE49-F238E27FC236}">
                    <a16:creationId xmlns:a16="http://schemas.microsoft.com/office/drawing/2014/main" id="{00000000-0008-0000-0000-000000020000}"/>
                  </a:ext>
                </a:extLst>
              </xdr:cNvPr>
              <xdr:cNvGrpSpPr/>
            </xdr:nvGrpSpPr>
            <xdr:grpSpPr>
              <a:xfrm>
                <a:off x="2095500" y="116690775"/>
                <a:ext cx="2114550" cy="457200"/>
                <a:chOff x="2095500" y="116690775"/>
                <a:chExt cx="2114550" cy="457200"/>
              </a:xfrm>
            </xdr:grpSpPr>
            <xdr:sp macro="" textlink="">
              <xdr:nvSpPr>
                <xdr:cNvPr id="513" name="Oval 1008">
                  <a:extLst>
                    <a:ext uri="{FF2B5EF4-FFF2-40B4-BE49-F238E27FC236}">
                      <a16:creationId xmlns:a16="http://schemas.microsoft.com/office/drawing/2014/main" id="{00000000-0008-0000-0000-000001020000}"/>
                    </a:ext>
                  </a:extLst>
                </xdr:cNvPr>
                <xdr:cNvSpPr>
                  <a:spLocks noChangeArrowheads="1"/>
                </xdr:cNvSpPr>
              </xdr:nvSpPr>
              <xdr:spPr bwMode="auto">
                <a:xfrm>
                  <a:off x="3810000" y="116709825"/>
                  <a:ext cx="400050" cy="396968"/>
                </a:xfrm>
                <a:prstGeom prst="ellipse">
                  <a:avLst/>
                </a:prstGeom>
                <a:solidFill>
                  <a:srgbClr val="FFFFFF"/>
                </a:solidFill>
                <a:ln w="9525">
                  <a:solidFill>
                    <a:srgbClr val="000000"/>
                  </a:solidFill>
                  <a:round/>
                  <a:headEnd/>
                  <a:tailEnd/>
                </a:ln>
              </xdr:spPr>
              <xdr:txBody>
                <a:bodyPr vertOverflow="clip" wrap="square" lIns="91440" tIns="45720" rIns="91440" bIns="45720" anchor="t" upright="1"/>
                <a:lstStyle/>
                <a:p>
                  <a:pPr algn="l" rtl="0">
                    <a:defRPr sz="1000"/>
                  </a:pPr>
                  <a:r>
                    <a:rPr lang="ro-RO" sz="800" b="0" i="0" u="none" strike="noStrike" baseline="0">
                      <a:solidFill>
                        <a:srgbClr val="000000"/>
                      </a:solidFill>
                      <a:latin typeface="Times New Roman"/>
                      <a:cs typeface="Times New Roman"/>
                    </a:rPr>
                    <a:t>G</a:t>
                  </a:r>
                  <a:endParaRPr lang="en-US" sz="1000" b="0" i="0" u="none" strike="noStrike" baseline="0">
                    <a:solidFill>
                      <a:srgbClr val="000000"/>
                    </a:solidFill>
                    <a:latin typeface="Times New Roman"/>
                    <a:cs typeface="Times New Roman"/>
                  </a:endParaRPr>
                </a:p>
                <a:p>
                  <a:pPr algn="l" rtl="0">
                    <a:defRPr sz="1000"/>
                  </a:pPr>
                  <a:endParaRPr lang="en-US" sz="1000" b="0" i="0" u="none" strike="noStrike" baseline="0">
                    <a:solidFill>
                      <a:srgbClr val="000000"/>
                    </a:solidFill>
                    <a:latin typeface="Times New Roman"/>
                    <a:cs typeface="Times New Roman"/>
                  </a:endParaRPr>
                </a:p>
              </xdr:txBody>
            </xdr:sp>
            <xdr:sp macro="" textlink="">
              <xdr:nvSpPr>
                <xdr:cNvPr id="514" name="Line 1009">
                  <a:extLst>
                    <a:ext uri="{FF2B5EF4-FFF2-40B4-BE49-F238E27FC236}">
                      <a16:creationId xmlns:a16="http://schemas.microsoft.com/office/drawing/2014/main" id="{00000000-0008-0000-0000-000002020000}"/>
                    </a:ext>
                  </a:extLst>
                </xdr:cNvPr>
                <xdr:cNvSpPr>
                  <a:spLocks noChangeShapeType="1"/>
                </xdr:cNvSpPr>
              </xdr:nvSpPr>
              <xdr:spPr bwMode="auto">
                <a:xfrm>
                  <a:off x="2333625" y="116881275"/>
                  <a:ext cx="1485900" cy="0"/>
                </a:xfrm>
                <a:prstGeom prst="line">
                  <a:avLst/>
                </a:prstGeom>
                <a:noFill/>
                <a:ln w="9525">
                  <a:solidFill>
                    <a:srgbClr val="000000"/>
                  </a:solidFill>
                  <a:round/>
                  <a:headEnd/>
                  <a:tailEnd/>
                </a:ln>
              </xdr:spPr>
            </xdr:sp>
            <xdr:sp macro="" textlink="">
              <xdr:nvSpPr>
                <xdr:cNvPr id="515" name="Line 1010">
                  <a:extLst>
                    <a:ext uri="{FF2B5EF4-FFF2-40B4-BE49-F238E27FC236}">
                      <a16:creationId xmlns:a16="http://schemas.microsoft.com/office/drawing/2014/main" id="{00000000-0008-0000-0000-000003020000}"/>
                    </a:ext>
                  </a:extLst>
                </xdr:cNvPr>
                <xdr:cNvSpPr>
                  <a:spLocks noChangeShapeType="1"/>
                </xdr:cNvSpPr>
              </xdr:nvSpPr>
              <xdr:spPr bwMode="auto">
                <a:xfrm rot="2265785">
                  <a:off x="2552700" y="116824125"/>
                  <a:ext cx="0" cy="114300"/>
                </a:xfrm>
                <a:prstGeom prst="line">
                  <a:avLst/>
                </a:prstGeom>
                <a:noFill/>
                <a:ln w="9525">
                  <a:solidFill>
                    <a:srgbClr val="000000"/>
                  </a:solidFill>
                  <a:round/>
                  <a:headEnd/>
                  <a:tailEnd/>
                </a:ln>
              </xdr:spPr>
            </xdr:sp>
            <xdr:sp macro="" textlink="">
              <xdr:nvSpPr>
                <xdr:cNvPr id="516" name="Line 1011">
                  <a:extLst>
                    <a:ext uri="{FF2B5EF4-FFF2-40B4-BE49-F238E27FC236}">
                      <a16:creationId xmlns:a16="http://schemas.microsoft.com/office/drawing/2014/main" id="{00000000-0008-0000-0000-000004020000}"/>
                    </a:ext>
                  </a:extLst>
                </xdr:cNvPr>
                <xdr:cNvSpPr>
                  <a:spLocks noChangeShapeType="1"/>
                </xdr:cNvSpPr>
              </xdr:nvSpPr>
              <xdr:spPr bwMode="auto">
                <a:xfrm rot="2265785">
                  <a:off x="3067050" y="116824125"/>
                  <a:ext cx="0" cy="114300"/>
                </a:xfrm>
                <a:prstGeom prst="line">
                  <a:avLst/>
                </a:prstGeom>
                <a:noFill/>
                <a:ln w="9525">
                  <a:solidFill>
                    <a:srgbClr val="000000"/>
                  </a:solidFill>
                  <a:round/>
                  <a:headEnd/>
                  <a:tailEnd/>
                </a:ln>
              </xdr:spPr>
            </xdr:sp>
            <xdr:sp macro="" textlink="">
              <xdr:nvSpPr>
                <xdr:cNvPr id="517" name="Line 1013">
                  <a:extLst>
                    <a:ext uri="{FF2B5EF4-FFF2-40B4-BE49-F238E27FC236}">
                      <a16:creationId xmlns:a16="http://schemas.microsoft.com/office/drawing/2014/main" id="{00000000-0008-0000-0000-000005020000}"/>
                    </a:ext>
                  </a:extLst>
                </xdr:cNvPr>
                <xdr:cNvSpPr>
                  <a:spLocks noChangeShapeType="1"/>
                </xdr:cNvSpPr>
              </xdr:nvSpPr>
              <xdr:spPr bwMode="auto">
                <a:xfrm rot="-3134215">
                  <a:off x="2809875" y="116814600"/>
                  <a:ext cx="0" cy="114300"/>
                </a:xfrm>
                <a:prstGeom prst="line">
                  <a:avLst/>
                </a:prstGeom>
                <a:noFill/>
                <a:ln w="9525">
                  <a:solidFill>
                    <a:srgbClr val="000000"/>
                  </a:solidFill>
                  <a:round/>
                  <a:headEnd/>
                  <a:tailEnd/>
                </a:ln>
              </xdr:spPr>
            </xdr:sp>
            <xdr:sp macro="" textlink="">
              <xdr:nvSpPr>
                <xdr:cNvPr id="518" name="Line 1014">
                  <a:extLst>
                    <a:ext uri="{FF2B5EF4-FFF2-40B4-BE49-F238E27FC236}">
                      <a16:creationId xmlns:a16="http://schemas.microsoft.com/office/drawing/2014/main" id="{00000000-0008-0000-0000-000006020000}"/>
                    </a:ext>
                  </a:extLst>
                </xdr:cNvPr>
                <xdr:cNvSpPr>
                  <a:spLocks noChangeShapeType="1"/>
                </xdr:cNvSpPr>
              </xdr:nvSpPr>
              <xdr:spPr bwMode="auto">
                <a:xfrm>
                  <a:off x="2095500" y="116881275"/>
                  <a:ext cx="228600" cy="0"/>
                </a:xfrm>
                <a:prstGeom prst="line">
                  <a:avLst/>
                </a:prstGeom>
                <a:noFill/>
                <a:ln w="9525">
                  <a:solidFill>
                    <a:srgbClr val="000000"/>
                  </a:solidFill>
                  <a:round/>
                  <a:headEnd/>
                  <a:tailEnd type="triangle" w="med" len="med"/>
                </a:ln>
              </xdr:spPr>
            </xdr:sp>
            <xdr:sp macro="" textlink="">
              <xdr:nvSpPr>
                <xdr:cNvPr id="519" name="Line 1017">
                  <a:extLst>
                    <a:ext uri="{FF2B5EF4-FFF2-40B4-BE49-F238E27FC236}">
                      <a16:creationId xmlns:a16="http://schemas.microsoft.com/office/drawing/2014/main" id="{00000000-0008-0000-0000-000007020000}"/>
                    </a:ext>
                  </a:extLst>
                </xdr:cNvPr>
                <xdr:cNvSpPr>
                  <a:spLocks noChangeShapeType="1"/>
                </xdr:cNvSpPr>
              </xdr:nvSpPr>
              <xdr:spPr bwMode="auto">
                <a:xfrm>
                  <a:off x="2333625" y="116690775"/>
                  <a:ext cx="0" cy="457200"/>
                </a:xfrm>
                <a:prstGeom prst="line">
                  <a:avLst/>
                </a:prstGeom>
                <a:noFill/>
                <a:ln w="38100">
                  <a:solidFill>
                    <a:srgbClr val="000000"/>
                  </a:solidFill>
                  <a:round/>
                  <a:headEnd/>
                  <a:tailEnd/>
                </a:ln>
              </xdr:spPr>
            </xdr:sp>
          </xdr:grpSp>
        </xdr:grpSp>
        <xdr:cxnSp macro="">
          <xdr:nvCxnSpPr>
            <xdr:cNvPr id="509" name="Straight Connector 508">
              <a:extLst>
                <a:ext uri="{FF2B5EF4-FFF2-40B4-BE49-F238E27FC236}">
                  <a16:creationId xmlns:a16="http://schemas.microsoft.com/office/drawing/2014/main" id="{00000000-0008-0000-0000-0000FD010000}"/>
                </a:ext>
              </a:extLst>
            </xdr:cNvPr>
            <xdr:cNvCxnSpPr/>
          </xdr:nvCxnSpPr>
          <xdr:spPr>
            <a:xfrm>
              <a:off x="2752725" y="116843175"/>
              <a:ext cx="104775" cy="66675"/>
            </a:xfrm>
            <a:prstGeom prst="line">
              <a:avLst/>
            </a:prstGeom>
          </xdr:spPr>
          <xdr:style>
            <a:lnRef idx="1">
              <a:schemeClr val="accent1"/>
            </a:lnRef>
            <a:fillRef idx="0">
              <a:schemeClr val="accent1"/>
            </a:fillRef>
            <a:effectRef idx="0">
              <a:schemeClr val="accent1"/>
            </a:effectRef>
            <a:fontRef idx="minor">
              <a:schemeClr val="tx1"/>
            </a:fontRef>
          </xdr:style>
        </xdr:cxnSp>
      </xdr:grpSp>
      <xdr:cxnSp macro="">
        <xdr:nvCxnSpPr>
          <xdr:cNvPr id="507" name="Straight Connector 506">
            <a:extLst>
              <a:ext uri="{FF2B5EF4-FFF2-40B4-BE49-F238E27FC236}">
                <a16:creationId xmlns:a16="http://schemas.microsoft.com/office/drawing/2014/main" id="{00000000-0008-0000-0000-0000FB010000}"/>
              </a:ext>
            </a:extLst>
          </xdr:cNvPr>
          <xdr:cNvCxnSpPr/>
        </xdr:nvCxnSpPr>
        <xdr:spPr>
          <a:xfrm rot="18900000">
            <a:off x="2762250" y="116881275"/>
            <a:ext cx="95250" cy="0"/>
          </a:xfrm>
          <a:prstGeom prst="line">
            <a:avLst/>
          </a:prstGeom>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1314450</xdr:colOff>
      <xdr:row>115</xdr:row>
      <xdr:rowOff>161924</xdr:rowOff>
    </xdr:from>
    <xdr:to>
      <xdr:col>1</xdr:col>
      <xdr:colOff>1990725</xdr:colOff>
      <xdr:row>115</xdr:row>
      <xdr:rowOff>1409700</xdr:rowOff>
    </xdr:to>
    <xdr:grpSp>
      <xdr:nvGrpSpPr>
        <xdr:cNvPr id="521" name="Group 1">
          <a:extLst>
            <a:ext uri="{FF2B5EF4-FFF2-40B4-BE49-F238E27FC236}">
              <a16:creationId xmlns:a16="http://schemas.microsoft.com/office/drawing/2014/main" id="{00000000-0008-0000-0000-000009020000}"/>
            </a:ext>
          </a:extLst>
        </xdr:cNvPr>
        <xdr:cNvGrpSpPr>
          <a:grpSpLocks/>
        </xdr:cNvGrpSpPr>
      </xdr:nvGrpSpPr>
      <xdr:grpSpPr bwMode="auto">
        <a:xfrm>
          <a:off x="1845129" y="71327281"/>
          <a:ext cx="676275" cy="1247776"/>
          <a:chOff x="0" y="-7"/>
          <a:chExt cx="20000" cy="20310"/>
        </a:xfrm>
      </xdr:grpSpPr>
      <xdr:sp macro="" textlink="">
        <xdr:nvSpPr>
          <xdr:cNvPr id="522" name="Line 2">
            <a:extLst>
              <a:ext uri="{FF2B5EF4-FFF2-40B4-BE49-F238E27FC236}">
                <a16:creationId xmlns:a16="http://schemas.microsoft.com/office/drawing/2014/main" id="{00000000-0008-0000-0000-00000A020000}"/>
              </a:ext>
            </a:extLst>
          </xdr:cNvPr>
          <xdr:cNvSpPr>
            <a:spLocks noChangeShapeType="1"/>
          </xdr:cNvSpPr>
        </xdr:nvSpPr>
        <xdr:spPr bwMode="auto">
          <a:xfrm>
            <a:off x="0" y="425"/>
            <a:ext cx="20000" cy="6"/>
          </a:xfrm>
          <a:prstGeom prst="line">
            <a:avLst/>
          </a:prstGeom>
          <a:noFill/>
          <a:ln w="12700">
            <a:solidFill>
              <a:srgbClr val="000000"/>
            </a:solidFill>
            <a:round/>
            <a:headEnd type="none" w="lg" len="med"/>
            <a:tailEnd type="none" w="lg" len="med"/>
          </a:ln>
          <a:effectLst/>
        </xdr:spPr>
      </xdr:sp>
      <xdr:sp macro="" textlink="">
        <xdr:nvSpPr>
          <xdr:cNvPr id="523" name="Line 3">
            <a:extLst>
              <a:ext uri="{FF2B5EF4-FFF2-40B4-BE49-F238E27FC236}">
                <a16:creationId xmlns:a16="http://schemas.microsoft.com/office/drawing/2014/main" id="{00000000-0008-0000-0000-00000B020000}"/>
              </a:ext>
            </a:extLst>
          </xdr:cNvPr>
          <xdr:cNvSpPr>
            <a:spLocks noChangeShapeType="1"/>
          </xdr:cNvSpPr>
        </xdr:nvSpPr>
        <xdr:spPr bwMode="auto">
          <a:xfrm>
            <a:off x="0" y="3887"/>
            <a:ext cx="20000" cy="6"/>
          </a:xfrm>
          <a:prstGeom prst="line">
            <a:avLst/>
          </a:prstGeom>
          <a:noFill/>
          <a:ln w="12700">
            <a:solidFill>
              <a:srgbClr val="000000"/>
            </a:solidFill>
            <a:round/>
            <a:headEnd type="none" w="lg" len="med"/>
            <a:tailEnd type="none" w="lg" len="med"/>
          </a:ln>
          <a:effectLst/>
        </xdr:spPr>
      </xdr:sp>
      <xdr:sp macro="" textlink="">
        <xdr:nvSpPr>
          <xdr:cNvPr id="524" name="Line 4">
            <a:extLst>
              <a:ext uri="{FF2B5EF4-FFF2-40B4-BE49-F238E27FC236}">
                <a16:creationId xmlns:a16="http://schemas.microsoft.com/office/drawing/2014/main" id="{00000000-0008-0000-0000-00000C020000}"/>
              </a:ext>
            </a:extLst>
          </xdr:cNvPr>
          <xdr:cNvSpPr>
            <a:spLocks noChangeShapeType="1"/>
          </xdr:cNvSpPr>
        </xdr:nvSpPr>
        <xdr:spPr bwMode="auto">
          <a:xfrm>
            <a:off x="4613" y="425"/>
            <a:ext cx="11" cy="19878"/>
          </a:xfrm>
          <a:prstGeom prst="line">
            <a:avLst/>
          </a:prstGeom>
          <a:noFill/>
          <a:ln w="9525">
            <a:solidFill>
              <a:srgbClr val="000000"/>
            </a:solidFill>
            <a:round/>
            <a:headEnd type="none" w="sm" len="lg"/>
            <a:tailEnd type="triangle" w="sm" len="lg"/>
          </a:ln>
          <a:effectLst/>
        </xdr:spPr>
      </xdr:sp>
      <xdr:sp macro="" textlink="">
        <xdr:nvSpPr>
          <xdr:cNvPr id="525" name="Line 5">
            <a:extLst>
              <a:ext uri="{FF2B5EF4-FFF2-40B4-BE49-F238E27FC236}">
                <a16:creationId xmlns:a16="http://schemas.microsoft.com/office/drawing/2014/main" id="{00000000-0008-0000-0000-00000D020000}"/>
              </a:ext>
            </a:extLst>
          </xdr:cNvPr>
          <xdr:cNvSpPr>
            <a:spLocks noChangeShapeType="1"/>
          </xdr:cNvSpPr>
        </xdr:nvSpPr>
        <xdr:spPr bwMode="auto">
          <a:xfrm>
            <a:off x="13839" y="3887"/>
            <a:ext cx="10" cy="11238"/>
          </a:xfrm>
          <a:prstGeom prst="line">
            <a:avLst/>
          </a:prstGeom>
          <a:noFill/>
          <a:ln w="12700">
            <a:solidFill>
              <a:srgbClr val="000000"/>
            </a:solidFill>
            <a:round/>
            <a:headEnd type="none" w="lg" len="med"/>
            <a:tailEnd type="none" w="lg" len="med"/>
          </a:ln>
          <a:effectLst/>
        </xdr:spPr>
      </xdr:sp>
      <xdr:sp macro="" textlink="">
        <xdr:nvSpPr>
          <xdr:cNvPr id="526" name="Line 6">
            <a:extLst>
              <a:ext uri="{FF2B5EF4-FFF2-40B4-BE49-F238E27FC236}">
                <a16:creationId xmlns:a16="http://schemas.microsoft.com/office/drawing/2014/main" id="{00000000-0008-0000-0000-00000E020000}"/>
              </a:ext>
            </a:extLst>
          </xdr:cNvPr>
          <xdr:cNvSpPr>
            <a:spLocks noChangeShapeType="1"/>
          </xdr:cNvSpPr>
        </xdr:nvSpPr>
        <xdr:spPr bwMode="auto">
          <a:xfrm>
            <a:off x="4613" y="15119"/>
            <a:ext cx="9236" cy="6"/>
          </a:xfrm>
          <a:prstGeom prst="line">
            <a:avLst/>
          </a:prstGeom>
          <a:noFill/>
          <a:ln w="12700">
            <a:solidFill>
              <a:srgbClr val="000000"/>
            </a:solidFill>
            <a:round/>
            <a:headEnd type="none" w="lg" len="med"/>
            <a:tailEnd type="none" w="lg" len="med"/>
          </a:ln>
          <a:effectLst/>
        </xdr:spPr>
      </xdr:sp>
      <xdr:sp macro="" textlink="">
        <xdr:nvSpPr>
          <xdr:cNvPr id="527" name="Line 7">
            <a:extLst>
              <a:ext uri="{FF2B5EF4-FFF2-40B4-BE49-F238E27FC236}">
                <a16:creationId xmlns:a16="http://schemas.microsoft.com/office/drawing/2014/main" id="{00000000-0008-0000-0000-00000F020000}"/>
              </a:ext>
            </a:extLst>
          </xdr:cNvPr>
          <xdr:cNvSpPr>
            <a:spLocks noChangeShapeType="1"/>
          </xdr:cNvSpPr>
        </xdr:nvSpPr>
        <xdr:spPr bwMode="auto">
          <a:xfrm flipV="1">
            <a:off x="3075" y="11657"/>
            <a:ext cx="3086" cy="1734"/>
          </a:xfrm>
          <a:prstGeom prst="line">
            <a:avLst/>
          </a:prstGeom>
          <a:noFill/>
          <a:ln w="12700">
            <a:solidFill>
              <a:srgbClr val="000000"/>
            </a:solidFill>
            <a:round/>
            <a:headEnd type="none" w="lg" len="med"/>
            <a:tailEnd type="none" w="lg" len="med"/>
          </a:ln>
          <a:effectLst/>
        </xdr:spPr>
      </xdr:sp>
      <xdr:sp macro="" textlink="">
        <xdr:nvSpPr>
          <xdr:cNvPr id="528" name="Line 8">
            <a:extLst>
              <a:ext uri="{FF2B5EF4-FFF2-40B4-BE49-F238E27FC236}">
                <a16:creationId xmlns:a16="http://schemas.microsoft.com/office/drawing/2014/main" id="{00000000-0008-0000-0000-000010020000}"/>
              </a:ext>
            </a:extLst>
          </xdr:cNvPr>
          <xdr:cNvSpPr>
            <a:spLocks noChangeShapeType="1"/>
          </xdr:cNvSpPr>
        </xdr:nvSpPr>
        <xdr:spPr bwMode="auto">
          <a:xfrm flipV="1">
            <a:off x="3075" y="4745"/>
            <a:ext cx="3086" cy="1734"/>
          </a:xfrm>
          <a:prstGeom prst="line">
            <a:avLst/>
          </a:prstGeom>
          <a:noFill/>
          <a:ln w="12700">
            <a:solidFill>
              <a:srgbClr val="000000"/>
            </a:solidFill>
            <a:round/>
            <a:headEnd type="none" w="lg" len="med"/>
            <a:tailEnd type="none" w="lg" len="med"/>
          </a:ln>
          <a:effectLst/>
        </xdr:spPr>
      </xdr:sp>
      <xdr:sp macro="" textlink="">
        <xdr:nvSpPr>
          <xdr:cNvPr id="529" name="Line 9">
            <a:extLst>
              <a:ext uri="{FF2B5EF4-FFF2-40B4-BE49-F238E27FC236}">
                <a16:creationId xmlns:a16="http://schemas.microsoft.com/office/drawing/2014/main" id="{00000000-0008-0000-0000-000011020000}"/>
              </a:ext>
            </a:extLst>
          </xdr:cNvPr>
          <xdr:cNvSpPr>
            <a:spLocks noChangeShapeType="1"/>
          </xdr:cNvSpPr>
        </xdr:nvSpPr>
        <xdr:spPr bwMode="auto">
          <a:xfrm flipV="1">
            <a:off x="12301" y="4751"/>
            <a:ext cx="3086" cy="1734"/>
          </a:xfrm>
          <a:prstGeom prst="line">
            <a:avLst/>
          </a:prstGeom>
          <a:noFill/>
          <a:ln w="12700">
            <a:solidFill>
              <a:srgbClr val="000000"/>
            </a:solidFill>
            <a:round/>
            <a:headEnd type="none" w="lg" len="med"/>
            <a:tailEnd type="none" w="lg" len="med"/>
          </a:ln>
          <a:effectLst/>
        </xdr:spPr>
      </xdr:sp>
      <xdr:grpSp>
        <xdr:nvGrpSpPr>
          <xdr:cNvPr id="530" name="Group 10">
            <a:extLst>
              <a:ext uri="{FF2B5EF4-FFF2-40B4-BE49-F238E27FC236}">
                <a16:creationId xmlns:a16="http://schemas.microsoft.com/office/drawing/2014/main" id="{00000000-0008-0000-0000-000012020000}"/>
              </a:ext>
            </a:extLst>
          </xdr:cNvPr>
          <xdr:cNvGrpSpPr>
            <a:grpSpLocks/>
          </xdr:cNvGrpSpPr>
        </xdr:nvGrpSpPr>
        <xdr:grpSpPr bwMode="auto">
          <a:xfrm>
            <a:off x="3075" y="8201"/>
            <a:ext cx="3086" cy="1734"/>
            <a:chOff x="3889" y="1436"/>
            <a:chExt cx="289" cy="289"/>
          </a:xfrm>
        </xdr:grpSpPr>
        <xdr:sp macro="" textlink="">
          <xdr:nvSpPr>
            <xdr:cNvPr id="534" name="Line 11">
              <a:extLst>
                <a:ext uri="{FF2B5EF4-FFF2-40B4-BE49-F238E27FC236}">
                  <a16:creationId xmlns:a16="http://schemas.microsoft.com/office/drawing/2014/main" id="{00000000-0008-0000-0000-000016020000}"/>
                </a:ext>
              </a:extLst>
            </xdr:cNvPr>
            <xdr:cNvSpPr>
              <a:spLocks noChangeShapeType="1"/>
            </xdr:cNvSpPr>
          </xdr:nvSpPr>
          <xdr:spPr bwMode="auto">
            <a:xfrm flipV="1">
              <a:off x="3889" y="1436"/>
              <a:ext cx="289" cy="289"/>
            </a:xfrm>
            <a:prstGeom prst="line">
              <a:avLst/>
            </a:prstGeom>
            <a:noFill/>
            <a:ln w="12700">
              <a:solidFill>
                <a:srgbClr val="000000"/>
              </a:solidFill>
              <a:round/>
              <a:headEnd type="none" w="lg" len="med"/>
              <a:tailEnd type="none" w="lg" len="med"/>
            </a:ln>
            <a:effectLst/>
          </xdr:spPr>
        </xdr:sp>
        <xdr:sp macro="" textlink="">
          <xdr:nvSpPr>
            <xdr:cNvPr id="535" name="Line 12">
              <a:extLst>
                <a:ext uri="{FF2B5EF4-FFF2-40B4-BE49-F238E27FC236}">
                  <a16:creationId xmlns:a16="http://schemas.microsoft.com/office/drawing/2014/main" id="{00000000-0008-0000-0000-000017020000}"/>
                </a:ext>
              </a:extLst>
            </xdr:cNvPr>
            <xdr:cNvSpPr>
              <a:spLocks noChangeShapeType="1"/>
            </xdr:cNvSpPr>
          </xdr:nvSpPr>
          <xdr:spPr bwMode="auto">
            <a:xfrm>
              <a:off x="3889" y="1436"/>
              <a:ext cx="289" cy="289"/>
            </a:xfrm>
            <a:prstGeom prst="line">
              <a:avLst/>
            </a:prstGeom>
            <a:noFill/>
            <a:ln w="12700">
              <a:solidFill>
                <a:srgbClr val="000000"/>
              </a:solidFill>
              <a:round/>
              <a:headEnd type="none" w="lg" len="med"/>
              <a:tailEnd type="none" w="lg" len="med"/>
            </a:ln>
            <a:effectLst/>
          </xdr:spPr>
        </xdr:sp>
      </xdr:grpSp>
      <xdr:sp macro="" textlink="">
        <xdr:nvSpPr>
          <xdr:cNvPr id="531" name="Oval 13">
            <a:extLst>
              <a:ext uri="{FF2B5EF4-FFF2-40B4-BE49-F238E27FC236}">
                <a16:creationId xmlns:a16="http://schemas.microsoft.com/office/drawing/2014/main" id="{00000000-0008-0000-0000-000013020000}"/>
              </a:ext>
            </a:extLst>
          </xdr:cNvPr>
          <xdr:cNvSpPr>
            <a:spLocks noChangeArrowheads="1"/>
          </xdr:cNvSpPr>
        </xdr:nvSpPr>
        <xdr:spPr bwMode="auto">
          <a:xfrm>
            <a:off x="3844" y="-7"/>
            <a:ext cx="1548" cy="870"/>
          </a:xfrm>
          <a:prstGeom prst="ellipse">
            <a:avLst/>
          </a:prstGeom>
          <a:solidFill>
            <a:srgbClr val="666666"/>
          </a:solidFill>
          <a:ln w="12700">
            <a:solidFill>
              <a:srgbClr val="000000"/>
            </a:solidFill>
            <a:round/>
            <a:headEnd/>
            <a:tailEnd/>
          </a:ln>
          <a:effectLst/>
        </xdr:spPr>
      </xdr:sp>
      <xdr:sp macro="" textlink="">
        <xdr:nvSpPr>
          <xdr:cNvPr id="532" name="Oval 14">
            <a:extLst>
              <a:ext uri="{FF2B5EF4-FFF2-40B4-BE49-F238E27FC236}">
                <a16:creationId xmlns:a16="http://schemas.microsoft.com/office/drawing/2014/main" id="{00000000-0008-0000-0000-000014020000}"/>
              </a:ext>
            </a:extLst>
          </xdr:cNvPr>
          <xdr:cNvSpPr>
            <a:spLocks noChangeArrowheads="1"/>
          </xdr:cNvSpPr>
        </xdr:nvSpPr>
        <xdr:spPr bwMode="auto">
          <a:xfrm>
            <a:off x="13070" y="3455"/>
            <a:ext cx="1548" cy="870"/>
          </a:xfrm>
          <a:prstGeom prst="ellipse">
            <a:avLst/>
          </a:prstGeom>
          <a:solidFill>
            <a:srgbClr val="666666"/>
          </a:solidFill>
          <a:ln w="12700">
            <a:solidFill>
              <a:srgbClr val="000000"/>
            </a:solidFill>
            <a:round/>
            <a:headEnd/>
            <a:tailEnd/>
          </a:ln>
          <a:effectLst/>
        </xdr:spPr>
      </xdr:sp>
      <xdr:sp macro="" textlink="">
        <xdr:nvSpPr>
          <xdr:cNvPr id="533" name="Oval 15">
            <a:extLst>
              <a:ext uri="{FF2B5EF4-FFF2-40B4-BE49-F238E27FC236}">
                <a16:creationId xmlns:a16="http://schemas.microsoft.com/office/drawing/2014/main" id="{00000000-0008-0000-0000-000015020000}"/>
              </a:ext>
            </a:extLst>
          </xdr:cNvPr>
          <xdr:cNvSpPr>
            <a:spLocks noChangeArrowheads="1"/>
          </xdr:cNvSpPr>
        </xdr:nvSpPr>
        <xdr:spPr bwMode="auto">
          <a:xfrm>
            <a:off x="3844" y="14681"/>
            <a:ext cx="1548" cy="870"/>
          </a:xfrm>
          <a:prstGeom prst="ellipse">
            <a:avLst/>
          </a:prstGeom>
          <a:solidFill>
            <a:srgbClr val="666666"/>
          </a:solidFill>
          <a:ln w="12700">
            <a:solidFill>
              <a:srgbClr val="000000"/>
            </a:solidFill>
            <a:round/>
            <a:headEnd/>
            <a:tailEnd/>
          </a:ln>
          <a:effectLst/>
        </xdr:spPr>
      </xdr:sp>
    </xdr:grpSp>
    <xdr:clientData/>
  </xdr:twoCellAnchor>
  <xdr:twoCellAnchor>
    <xdr:from>
      <xdr:col>4</xdr:col>
      <xdr:colOff>430530</xdr:colOff>
      <xdr:row>28</xdr:row>
      <xdr:rowOff>243840</xdr:rowOff>
    </xdr:from>
    <xdr:to>
      <xdr:col>4</xdr:col>
      <xdr:colOff>1310640</xdr:colOff>
      <xdr:row>28</xdr:row>
      <xdr:rowOff>914400</xdr:rowOff>
    </xdr:to>
    <xdr:grpSp>
      <xdr:nvGrpSpPr>
        <xdr:cNvPr id="1057" name="Group 33">
          <a:extLst>
            <a:ext uri="{FF2B5EF4-FFF2-40B4-BE49-F238E27FC236}">
              <a16:creationId xmlns:a16="http://schemas.microsoft.com/office/drawing/2014/main" id="{00000000-0008-0000-0000-000021040000}"/>
            </a:ext>
          </a:extLst>
        </xdr:cNvPr>
        <xdr:cNvGrpSpPr>
          <a:grpSpLocks/>
        </xdr:cNvGrpSpPr>
      </xdr:nvGrpSpPr>
      <xdr:grpSpPr bwMode="auto">
        <a:xfrm>
          <a:off x="7383780" y="14694626"/>
          <a:ext cx="880110" cy="670560"/>
          <a:chOff x="8138" y="12837"/>
          <a:chExt cx="2305" cy="1773"/>
        </a:xfrm>
      </xdr:grpSpPr>
      <xdr:grpSp>
        <xdr:nvGrpSpPr>
          <xdr:cNvPr id="1058" name="Group 34">
            <a:extLst>
              <a:ext uri="{FF2B5EF4-FFF2-40B4-BE49-F238E27FC236}">
                <a16:creationId xmlns:a16="http://schemas.microsoft.com/office/drawing/2014/main" id="{00000000-0008-0000-0000-000022040000}"/>
              </a:ext>
            </a:extLst>
          </xdr:cNvPr>
          <xdr:cNvGrpSpPr>
            <a:grpSpLocks/>
          </xdr:cNvGrpSpPr>
        </xdr:nvGrpSpPr>
        <xdr:grpSpPr bwMode="auto">
          <a:xfrm rot="18900000">
            <a:off x="9235" y="14455"/>
            <a:ext cx="155" cy="155"/>
            <a:chOff x="5263" y="2743"/>
            <a:chExt cx="155" cy="155"/>
          </a:xfrm>
        </xdr:grpSpPr>
        <xdr:cxnSp macro="">
          <xdr:nvCxnSpPr>
            <xdr:cNvPr id="1059" name="AutoShape 35">
              <a:extLst>
                <a:ext uri="{FF2B5EF4-FFF2-40B4-BE49-F238E27FC236}">
                  <a16:creationId xmlns:a16="http://schemas.microsoft.com/office/drawing/2014/main" id="{00000000-0008-0000-0000-000023040000}"/>
                </a:ext>
              </a:extLst>
            </xdr:cNvPr>
            <xdr:cNvCxnSpPr>
              <a:cxnSpLocks noChangeShapeType="1"/>
            </xdr:cNvCxnSpPr>
          </xdr:nvCxnSpPr>
          <xdr:spPr bwMode="auto">
            <a:xfrm>
              <a:off x="5263" y="2824"/>
              <a:ext cx="155" cy="0"/>
            </a:xfrm>
            <a:prstGeom prst="straightConnector1">
              <a:avLst/>
            </a:prstGeom>
            <a:noFill/>
            <a:ln w="9525">
              <a:solidFill>
                <a:srgbClr val="000000"/>
              </a:solidFill>
              <a:round/>
              <a:headEnd/>
              <a:tailEnd/>
            </a:ln>
          </xdr:spPr>
        </xdr:cxnSp>
        <xdr:cxnSp macro="">
          <xdr:nvCxnSpPr>
            <xdr:cNvPr id="1060" name="AutoShape 36">
              <a:extLst>
                <a:ext uri="{FF2B5EF4-FFF2-40B4-BE49-F238E27FC236}">
                  <a16:creationId xmlns:a16="http://schemas.microsoft.com/office/drawing/2014/main" id="{00000000-0008-0000-0000-000024040000}"/>
                </a:ext>
              </a:extLst>
            </xdr:cNvPr>
            <xdr:cNvCxnSpPr>
              <a:cxnSpLocks noChangeShapeType="1"/>
            </xdr:cNvCxnSpPr>
          </xdr:nvCxnSpPr>
          <xdr:spPr bwMode="auto">
            <a:xfrm rot="5400000">
              <a:off x="5260" y="2821"/>
              <a:ext cx="155" cy="0"/>
            </a:xfrm>
            <a:prstGeom prst="straightConnector1">
              <a:avLst/>
            </a:prstGeom>
            <a:noFill/>
            <a:ln w="9525">
              <a:solidFill>
                <a:srgbClr val="000000"/>
              </a:solidFill>
              <a:round/>
              <a:headEnd/>
              <a:tailEnd/>
            </a:ln>
          </xdr:spPr>
        </xdr:cxnSp>
      </xdr:grpSp>
      <xdr:grpSp>
        <xdr:nvGrpSpPr>
          <xdr:cNvPr id="1061" name="Group 37">
            <a:extLst>
              <a:ext uri="{FF2B5EF4-FFF2-40B4-BE49-F238E27FC236}">
                <a16:creationId xmlns:a16="http://schemas.microsoft.com/office/drawing/2014/main" id="{00000000-0008-0000-0000-000025040000}"/>
              </a:ext>
            </a:extLst>
          </xdr:cNvPr>
          <xdr:cNvGrpSpPr>
            <a:grpSpLocks/>
          </xdr:cNvGrpSpPr>
        </xdr:nvGrpSpPr>
        <xdr:grpSpPr bwMode="auto">
          <a:xfrm>
            <a:off x="8138" y="12837"/>
            <a:ext cx="2305" cy="1729"/>
            <a:chOff x="7419" y="12837"/>
            <a:chExt cx="2305" cy="1729"/>
          </a:xfrm>
        </xdr:grpSpPr>
        <xdr:grpSp>
          <xdr:nvGrpSpPr>
            <xdr:cNvPr id="1062" name="Group 38">
              <a:extLst>
                <a:ext uri="{FF2B5EF4-FFF2-40B4-BE49-F238E27FC236}">
                  <a16:creationId xmlns:a16="http://schemas.microsoft.com/office/drawing/2014/main" id="{00000000-0008-0000-0000-000026040000}"/>
                </a:ext>
              </a:extLst>
            </xdr:cNvPr>
            <xdr:cNvGrpSpPr>
              <a:grpSpLocks/>
            </xdr:cNvGrpSpPr>
          </xdr:nvGrpSpPr>
          <xdr:grpSpPr bwMode="auto">
            <a:xfrm>
              <a:off x="7419" y="12837"/>
              <a:ext cx="2305" cy="1729"/>
              <a:chOff x="7419" y="12837"/>
              <a:chExt cx="2305" cy="1729"/>
            </a:xfrm>
          </xdr:grpSpPr>
          <xdr:sp macro="" textlink="">
            <xdr:nvSpPr>
              <xdr:cNvPr id="1063" name="Line 39">
                <a:extLst>
                  <a:ext uri="{FF2B5EF4-FFF2-40B4-BE49-F238E27FC236}">
                    <a16:creationId xmlns:a16="http://schemas.microsoft.com/office/drawing/2014/main" id="{00000000-0008-0000-0000-000027040000}"/>
                  </a:ext>
                </a:extLst>
              </xdr:cNvPr>
              <xdr:cNvSpPr>
                <a:spLocks noChangeShapeType="1"/>
              </xdr:cNvSpPr>
            </xdr:nvSpPr>
            <xdr:spPr bwMode="auto">
              <a:xfrm>
                <a:off x="7432" y="13291"/>
                <a:ext cx="932" cy="1"/>
              </a:xfrm>
              <a:prstGeom prst="line">
                <a:avLst/>
              </a:prstGeom>
              <a:noFill/>
              <a:ln w="50800">
                <a:solidFill>
                  <a:srgbClr val="000000"/>
                </a:solidFill>
                <a:round/>
                <a:headEnd type="none" w="sm" len="sm"/>
                <a:tailEnd type="none" w="sm" len="sm"/>
              </a:ln>
              <a:effectLst/>
            </xdr:spPr>
          </xdr:sp>
          <xdr:sp macro="" textlink="">
            <xdr:nvSpPr>
              <xdr:cNvPr id="1064" name="Line 40">
                <a:extLst>
                  <a:ext uri="{FF2B5EF4-FFF2-40B4-BE49-F238E27FC236}">
                    <a16:creationId xmlns:a16="http://schemas.microsoft.com/office/drawing/2014/main" id="{00000000-0008-0000-0000-000028040000}"/>
                  </a:ext>
                </a:extLst>
              </xdr:cNvPr>
              <xdr:cNvSpPr>
                <a:spLocks noChangeShapeType="1"/>
              </xdr:cNvSpPr>
            </xdr:nvSpPr>
            <xdr:spPr bwMode="auto">
              <a:xfrm>
                <a:off x="8792" y="13324"/>
                <a:ext cx="932" cy="1"/>
              </a:xfrm>
              <a:prstGeom prst="line">
                <a:avLst/>
              </a:prstGeom>
              <a:noFill/>
              <a:ln w="50800">
                <a:solidFill>
                  <a:srgbClr val="000000"/>
                </a:solidFill>
                <a:round/>
                <a:headEnd type="none" w="sm" len="sm"/>
                <a:tailEnd type="none" w="sm" len="sm"/>
              </a:ln>
              <a:effectLst/>
            </xdr:spPr>
          </xdr:sp>
          <xdr:sp macro="" textlink="">
            <xdr:nvSpPr>
              <xdr:cNvPr id="1065" name="Line 41">
                <a:extLst>
                  <a:ext uri="{FF2B5EF4-FFF2-40B4-BE49-F238E27FC236}">
                    <a16:creationId xmlns:a16="http://schemas.microsoft.com/office/drawing/2014/main" id="{00000000-0008-0000-0000-000029040000}"/>
                  </a:ext>
                </a:extLst>
              </xdr:cNvPr>
              <xdr:cNvSpPr>
                <a:spLocks noChangeShapeType="1"/>
              </xdr:cNvSpPr>
            </xdr:nvSpPr>
            <xdr:spPr bwMode="auto">
              <a:xfrm flipV="1">
                <a:off x="8026" y="13311"/>
                <a:ext cx="1" cy="601"/>
              </a:xfrm>
              <a:prstGeom prst="line">
                <a:avLst/>
              </a:prstGeom>
              <a:noFill/>
              <a:ln w="12700">
                <a:solidFill>
                  <a:srgbClr val="000000"/>
                </a:solidFill>
                <a:round/>
                <a:headEnd type="none" w="sm" len="sm"/>
                <a:tailEnd type="none" w="sm" len="sm"/>
              </a:ln>
              <a:effectLst/>
            </xdr:spPr>
          </xdr:sp>
          <xdr:sp macro="" textlink="">
            <xdr:nvSpPr>
              <xdr:cNvPr id="1066" name="Line 42">
                <a:extLst>
                  <a:ext uri="{FF2B5EF4-FFF2-40B4-BE49-F238E27FC236}">
                    <a16:creationId xmlns:a16="http://schemas.microsoft.com/office/drawing/2014/main" id="{00000000-0008-0000-0000-00002A040000}"/>
                  </a:ext>
                </a:extLst>
              </xdr:cNvPr>
              <xdr:cNvSpPr>
                <a:spLocks noChangeShapeType="1"/>
              </xdr:cNvSpPr>
            </xdr:nvSpPr>
            <xdr:spPr bwMode="auto">
              <a:xfrm>
                <a:off x="7626" y="12928"/>
                <a:ext cx="1" cy="1638"/>
              </a:xfrm>
              <a:prstGeom prst="line">
                <a:avLst/>
              </a:prstGeom>
              <a:noFill/>
              <a:ln w="12700">
                <a:solidFill>
                  <a:srgbClr val="000000"/>
                </a:solidFill>
                <a:round/>
                <a:headEnd type="none" w="sm" len="sm"/>
                <a:tailEnd type="none" w="sm" len="sm"/>
              </a:ln>
              <a:effectLst/>
            </xdr:spPr>
          </xdr:sp>
          <xdr:sp macro="" textlink="">
            <xdr:nvSpPr>
              <xdr:cNvPr id="1067" name="Line 43">
                <a:extLst>
                  <a:ext uri="{FF2B5EF4-FFF2-40B4-BE49-F238E27FC236}">
                    <a16:creationId xmlns:a16="http://schemas.microsoft.com/office/drawing/2014/main" id="{00000000-0008-0000-0000-00002B040000}"/>
                  </a:ext>
                </a:extLst>
              </xdr:cNvPr>
              <xdr:cNvSpPr>
                <a:spLocks noChangeShapeType="1"/>
              </xdr:cNvSpPr>
            </xdr:nvSpPr>
            <xdr:spPr bwMode="auto">
              <a:xfrm>
                <a:off x="9524" y="12914"/>
                <a:ext cx="1" cy="1638"/>
              </a:xfrm>
              <a:prstGeom prst="line">
                <a:avLst/>
              </a:prstGeom>
              <a:noFill/>
              <a:ln w="12700">
                <a:solidFill>
                  <a:srgbClr val="000000"/>
                </a:solidFill>
                <a:round/>
                <a:headEnd type="none" w="sm" len="sm"/>
                <a:tailEnd type="none" w="sm" len="sm"/>
              </a:ln>
              <a:effectLst/>
            </xdr:spPr>
          </xdr:sp>
          <xdr:sp macro="" textlink="">
            <xdr:nvSpPr>
              <xdr:cNvPr id="1068" name="Line 44">
                <a:extLst>
                  <a:ext uri="{FF2B5EF4-FFF2-40B4-BE49-F238E27FC236}">
                    <a16:creationId xmlns:a16="http://schemas.microsoft.com/office/drawing/2014/main" id="{00000000-0008-0000-0000-00002C040000}"/>
                  </a:ext>
                </a:extLst>
              </xdr:cNvPr>
              <xdr:cNvSpPr>
                <a:spLocks noChangeShapeType="1"/>
              </xdr:cNvSpPr>
            </xdr:nvSpPr>
            <xdr:spPr bwMode="auto">
              <a:xfrm flipV="1">
                <a:off x="9124" y="13311"/>
                <a:ext cx="1" cy="601"/>
              </a:xfrm>
              <a:prstGeom prst="line">
                <a:avLst/>
              </a:prstGeom>
              <a:noFill/>
              <a:ln w="12700">
                <a:solidFill>
                  <a:srgbClr val="000000"/>
                </a:solidFill>
                <a:round/>
                <a:headEnd type="none" w="sm" len="sm"/>
                <a:tailEnd type="none" w="sm" len="sm"/>
              </a:ln>
              <a:effectLst/>
            </xdr:spPr>
          </xdr:sp>
          <xdr:sp macro="" textlink="">
            <xdr:nvSpPr>
              <xdr:cNvPr id="1069" name="Line 45">
                <a:extLst>
                  <a:ext uri="{FF2B5EF4-FFF2-40B4-BE49-F238E27FC236}">
                    <a16:creationId xmlns:a16="http://schemas.microsoft.com/office/drawing/2014/main" id="{00000000-0008-0000-0000-00002D040000}"/>
                  </a:ext>
                </a:extLst>
              </xdr:cNvPr>
              <xdr:cNvSpPr>
                <a:spLocks noChangeShapeType="1"/>
              </xdr:cNvSpPr>
            </xdr:nvSpPr>
            <xdr:spPr bwMode="auto">
              <a:xfrm>
                <a:off x="7637" y="14552"/>
                <a:ext cx="1898" cy="1"/>
              </a:xfrm>
              <a:prstGeom prst="line">
                <a:avLst/>
              </a:prstGeom>
              <a:noFill/>
              <a:ln w="12700">
                <a:solidFill>
                  <a:srgbClr val="000000"/>
                </a:solidFill>
                <a:round/>
                <a:headEnd type="none" w="sm" len="sm"/>
                <a:tailEnd type="none" w="sm" len="sm"/>
              </a:ln>
              <a:effectLst/>
            </xdr:spPr>
          </xdr:sp>
          <xdr:sp macro="" textlink="">
            <xdr:nvSpPr>
              <xdr:cNvPr id="1070" name="Line 46">
                <a:extLst>
                  <a:ext uri="{FF2B5EF4-FFF2-40B4-BE49-F238E27FC236}">
                    <a16:creationId xmlns:a16="http://schemas.microsoft.com/office/drawing/2014/main" id="{00000000-0008-0000-0000-00002E040000}"/>
                  </a:ext>
                </a:extLst>
              </xdr:cNvPr>
              <xdr:cNvSpPr>
                <a:spLocks noChangeShapeType="1"/>
              </xdr:cNvSpPr>
            </xdr:nvSpPr>
            <xdr:spPr bwMode="auto">
              <a:xfrm>
                <a:off x="8026" y="13910"/>
                <a:ext cx="1110" cy="1"/>
              </a:xfrm>
              <a:prstGeom prst="line">
                <a:avLst/>
              </a:prstGeom>
              <a:noFill/>
              <a:ln w="12700">
                <a:solidFill>
                  <a:srgbClr val="000000"/>
                </a:solidFill>
                <a:round/>
                <a:headEnd type="none" w="sm" len="sm"/>
                <a:tailEnd type="none" w="sm" len="sm"/>
              </a:ln>
              <a:effectLst/>
            </xdr:spPr>
          </xdr:sp>
          <xdr:sp macro="" textlink="">
            <xdr:nvSpPr>
              <xdr:cNvPr id="1071" name="Line 47">
                <a:extLst>
                  <a:ext uri="{FF2B5EF4-FFF2-40B4-BE49-F238E27FC236}">
                    <a16:creationId xmlns:a16="http://schemas.microsoft.com/office/drawing/2014/main" id="{00000000-0008-0000-0000-00002F040000}"/>
                  </a:ext>
                </a:extLst>
              </xdr:cNvPr>
              <xdr:cNvSpPr>
                <a:spLocks noChangeShapeType="1"/>
              </xdr:cNvSpPr>
            </xdr:nvSpPr>
            <xdr:spPr bwMode="auto">
              <a:xfrm flipH="1">
                <a:off x="7576" y="13507"/>
                <a:ext cx="92" cy="65"/>
              </a:xfrm>
              <a:prstGeom prst="line">
                <a:avLst/>
              </a:prstGeom>
              <a:noFill/>
              <a:ln w="12700">
                <a:solidFill>
                  <a:srgbClr val="000000"/>
                </a:solidFill>
                <a:round/>
                <a:headEnd type="none" w="sm" len="sm"/>
                <a:tailEnd type="none" w="sm" len="sm"/>
              </a:ln>
              <a:effectLst/>
            </xdr:spPr>
          </xdr:sp>
          <xdr:sp macro="" textlink="">
            <xdr:nvSpPr>
              <xdr:cNvPr id="1072" name="Line 48">
                <a:extLst>
                  <a:ext uri="{FF2B5EF4-FFF2-40B4-BE49-F238E27FC236}">
                    <a16:creationId xmlns:a16="http://schemas.microsoft.com/office/drawing/2014/main" id="{00000000-0008-0000-0000-000030040000}"/>
                  </a:ext>
                </a:extLst>
              </xdr:cNvPr>
              <xdr:cNvSpPr>
                <a:spLocks noChangeShapeType="1"/>
              </xdr:cNvSpPr>
            </xdr:nvSpPr>
            <xdr:spPr bwMode="auto">
              <a:xfrm flipH="1">
                <a:off x="9474" y="13507"/>
                <a:ext cx="92" cy="65"/>
              </a:xfrm>
              <a:prstGeom prst="line">
                <a:avLst/>
              </a:prstGeom>
              <a:noFill/>
              <a:ln w="12700">
                <a:solidFill>
                  <a:srgbClr val="000000"/>
                </a:solidFill>
                <a:round/>
                <a:headEnd type="none" w="sm" len="sm"/>
                <a:tailEnd type="none" w="sm" len="sm"/>
              </a:ln>
              <a:effectLst/>
            </xdr:spPr>
          </xdr:sp>
          <xdr:sp macro="" textlink="">
            <xdr:nvSpPr>
              <xdr:cNvPr id="1073" name="Line 49">
                <a:extLst>
                  <a:ext uri="{FF2B5EF4-FFF2-40B4-BE49-F238E27FC236}">
                    <a16:creationId xmlns:a16="http://schemas.microsoft.com/office/drawing/2014/main" id="{00000000-0008-0000-0000-000031040000}"/>
                  </a:ext>
                </a:extLst>
              </xdr:cNvPr>
              <xdr:cNvSpPr>
                <a:spLocks noChangeShapeType="1"/>
              </xdr:cNvSpPr>
            </xdr:nvSpPr>
            <xdr:spPr bwMode="auto">
              <a:xfrm flipH="1">
                <a:off x="9066" y="13507"/>
                <a:ext cx="92" cy="65"/>
              </a:xfrm>
              <a:prstGeom prst="line">
                <a:avLst/>
              </a:prstGeom>
              <a:noFill/>
              <a:ln w="12700">
                <a:solidFill>
                  <a:srgbClr val="000000"/>
                </a:solidFill>
                <a:round/>
                <a:headEnd type="none" w="sm" len="sm"/>
                <a:tailEnd type="none" w="sm" len="sm"/>
              </a:ln>
              <a:effectLst/>
            </xdr:spPr>
          </xdr:sp>
          <xdr:sp macro="" textlink="">
            <xdr:nvSpPr>
              <xdr:cNvPr id="1074" name="Line 50">
                <a:extLst>
                  <a:ext uri="{FF2B5EF4-FFF2-40B4-BE49-F238E27FC236}">
                    <a16:creationId xmlns:a16="http://schemas.microsoft.com/office/drawing/2014/main" id="{00000000-0008-0000-0000-000032040000}"/>
                  </a:ext>
                </a:extLst>
              </xdr:cNvPr>
              <xdr:cNvSpPr>
                <a:spLocks noChangeShapeType="1"/>
              </xdr:cNvSpPr>
            </xdr:nvSpPr>
            <xdr:spPr bwMode="auto">
              <a:xfrm flipH="1">
                <a:off x="7976" y="13517"/>
                <a:ext cx="92" cy="65"/>
              </a:xfrm>
              <a:prstGeom prst="line">
                <a:avLst/>
              </a:prstGeom>
              <a:noFill/>
              <a:ln w="12700">
                <a:solidFill>
                  <a:srgbClr val="000000"/>
                </a:solidFill>
                <a:round/>
                <a:headEnd type="none" w="sm" len="sm"/>
                <a:tailEnd type="none" w="sm" len="sm"/>
              </a:ln>
              <a:effectLst/>
            </xdr:spPr>
          </xdr:sp>
          <xdr:sp macro="" textlink="">
            <xdr:nvSpPr>
              <xdr:cNvPr id="1075" name="Line 51">
                <a:extLst>
                  <a:ext uri="{FF2B5EF4-FFF2-40B4-BE49-F238E27FC236}">
                    <a16:creationId xmlns:a16="http://schemas.microsoft.com/office/drawing/2014/main" id="{00000000-0008-0000-0000-000033040000}"/>
                  </a:ext>
                </a:extLst>
              </xdr:cNvPr>
              <xdr:cNvSpPr>
                <a:spLocks noChangeShapeType="1"/>
              </xdr:cNvSpPr>
            </xdr:nvSpPr>
            <xdr:spPr bwMode="auto">
              <a:xfrm>
                <a:off x="7419" y="12869"/>
                <a:ext cx="932" cy="1"/>
              </a:xfrm>
              <a:prstGeom prst="line">
                <a:avLst/>
              </a:prstGeom>
              <a:noFill/>
              <a:ln w="50800">
                <a:solidFill>
                  <a:srgbClr val="000000"/>
                </a:solidFill>
                <a:round/>
                <a:headEnd type="none" w="sm" len="sm"/>
                <a:tailEnd type="none" w="sm" len="sm"/>
              </a:ln>
              <a:effectLst/>
            </xdr:spPr>
          </xdr:sp>
          <xdr:sp macro="" textlink="">
            <xdr:nvSpPr>
              <xdr:cNvPr id="1076" name="Line 52">
                <a:extLst>
                  <a:ext uri="{FF2B5EF4-FFF2-40B4-BE49-F238E27FC236}">
                    <a16:creationId xmlns:a16="http://schemas.microsoft.com/office/drawing/2014/main" id="{00000000-0008-0000-0000-000034040000}"/>
                  </a:ext>
                </a:extLst>
              </xdr:cNvPr>
              <xdr:cNvSpPr>
                <a:spLocks noChangeShapeType="1"/>
              </xdr:cNvSpPr>
            </xdr:nvSpPr>
            <xdr:spPr bwMode="auto">
              <a:xfrm>
                <a:off x="8791" y="12898"/>
                <a:ext cx="932" cy="1"/>
              </a:xfrm>
              <a:prstGeom prst="line">
                <a:avLst/>
              </a:prstGeom>
              <a:noFill/>
              <a:ln w="50800">
                <a:solidFill>
                  <a:srgbClr val="000000"/>
                </a:solidFill>
                <a:round/>
                <a:headEnd type="none" w="sm" len="sm"/>
                <a:tailEnd type="none" w="sm" len="sm"/>
              </a:ln>
              <a:effectLst/>
            </xdr:spPr>
          </xdr:sp>
          <xdr:sp macro="" textlink="">
            <xdr:nvSpPr>
              <xdr:cNvPr id="1077" name="Oval 53">
                <a:extLst>
                  <a:ext uri="{FF2B5EF4-FFF2-40B4-BE49-F238E27FC236}">
                    <a16:creationId xmlns:a16="http://schemas.microsoft.com/office/drawing/2014/main" id="{00000000-0008-0000-0000-000035040000}"/>
                  </a:ext>
                </a:extLst>
              </xdr:cNvPr>
              <xdr:cNvSpPr>
                <a:spLocks noChangeArrowheads="1"/>
              </xdr:cNvSpPr>
            </xdr:nvSpPr>
            <xdr:spPr bwMode="auto">
              <a:xfrm>
                <a:off x="7605" y="12879"/>
                <a:ext cx="35" cy="47"/>
              </a:xfrm>
              <a:prstGeom prst="ellipse">
                <a:avLst/>
              </a:prstGeom>
              <a:solidFill>
                <a:srgbClr val="FFFFFF"/>
              </a:solidFill>
              <a:ln w="12700">
                <a:solidFill>
                  <a:srgbClr val="000000"/>
                </a:solidFill>
                <a:round/>
                <a:headEnd/>
                <a:tailEnd/>
              </a:ln>
              <a:effectLst/>
            </xdr:spPr>
          </xdr:sp>
          <xdr:sp macro="" textlink="">
            <xdr:nvSpPr>
              <xdr:cNvPr id="1078" name="Oval 54">
                <a:extLst>
                  <a:ext uri="{FF2B5EF4-FFF2-40B4-BE49-F238E27FC236}">
                    <a16:creationId xmlns:a16="http://schemas.microsoft.com/office/drawing/2014/main" id="{00000000-0008-0000-0000-000036040000}"/>
                  </a:ext>
                </a:extLst>
              </xdr:cNvPr>
              <xdr:cNvSpPr>
                <a:spLocks noChangeArrowheads="1"/>
              </xdr:cNvSpPr>
            </xdr:nvSpPr>
            <xdr:spPr bwMode="auto">
              <a:xfrm>
                <a:off x="8016" y="13280"/>
                <a:ext cx="35" cy="47"/>
              </a:xfrm>
              <a:prstGeom prst="ellipse">
                <a:avLst/>
              </a:prstGeom>
              <a:solidFill>
                <a:srgbClr val="FFFFFF"/>
              </a:solidFill>
              <a:ln w="12700">
                <a:solidFill>
                  <a:srgbClr val="000000"/>
                </a:solidFill>
                <a:round/>
                <a:headEnd/>
                <a:tailEnd/>
              </a:ln>
              <a:effectLst/>
            </xdr:spPr>
          </xdr:sp>
          <xdr:sp macro="" textlink="">
            <xdr:nvSpPr>
              <xdr:cNvPr id="1079" name="Oval 55">
                <a:extLst>
                  <a:ext uri="{FF2B5EF4-FFF2-40B4-BE49-F238E27FC236}">
                    <a16:creationId xmlns:a16="http://schemas.microsoft.com/office/drawing/2014/main" id="{00000000-0008-0000-0000-000037040000}"/>
                  </a:ext>
                </a:extLst>
              </xdr:cNvPr>
              <xdr:cNvSpPr>
                <a:spLocks noChangeArrowheads="1"/>
              </xdr:cNvSpPr>
            </xdr:nvSpPr>
            <xdr:spPr bwMode="auto">
              <a:xfrm>
                <a:off x="8558" y="13897"/>
                <a:ext cx="35" cy="47"/>
              </a:xfrm>
              <a:prstGeom prst="ellipse">
                <a:avLst/>
              </a:prstGeom>
              <a:solidFill>
                <a:srgbClr val="FFFFFF"/>
              </a:solidFill>
              <a:ln w="12700">
                <a:solidFill>
                  <a:srgbClr val="000000"/>
                </a:solidFill>
                <a:round/>
                <a:headEnd/>
                <a:tailEnd/>
              </a:ln>
              <a:effectLst/>
            </xdr:spPr>
          </xdr:sp>
          <xdr:sp macro="" textlink="">
            <xdr:nvSpPr>
              <xdr:cNvPr id="1080" name="Oval 56">
                <a:extLst>
                  <a:ext uri="{FF2B5EF4-FFF2-40B4-BE49-F238E27FC236}">
                    <a16:creationId xmlns:a16="http://schemas.microsoft.com/office/drawing/2014/main" id="{00000000-0008-0000-0000-000038040000}"/>
                  </a:ext>
                </a:extLst>
              </xdr:cNvPr>
              <xdr:cNvSpPr>
                <a:spLocks noChangeArrowheads="1"/>
              </xdr:cNvSpPr>
            </xdr:nvSpPr>
            <xdr:spPr bwMode="auto">
              <a:xfrm>
                <a:off x="8571" y="14517"/>
                <a:ext cx="35" cy="47"/>
              </a:xfrm>
              <a:prstGeom prst="ellipse">
                <a:avLst/>
              </a:prstGeom>
              <a:solidFill>
                <a:srgbClr val="FFFFFF"/>
              </a:solidFill>
              <a:ln w="12700">
                <a:solidFill>
                  <a:srgbClr val="000000"/>
                </a:solidFill>
                <a:round/>
                <a:headEnd/>
                <a:tailEnd/>
              </a:ln>
              <a:effectLst/>
            </xdr:spPr>
          </xdr:sp>
          <xdr:sp macro="" textlink="">
            <xdr:nvSpPr>
              <xdr:cNvPr id="1081" name="Oval 57">
                <a:extLst>
                  <a:ext uri="{FF2B5EF4-FFF2-40B4-BE49-F238E27FC236}">
                    <a16:creationId xmlns:a16="http://schemas.microsoft.com/office/drawing/2014/main" id="{00000000-0008-0000-0000-000039040000}"/>
                  </a:ext>
                </a:extLst>
              </xdr:cNvPr>
              <xdr:cNvSpPr>
                <a:spLocks noChangeArrowheads="1"/>
              </xdr:cNvSpPr>
            </xdr:nvSpPr>
            <xdr:spPr bwMode="auto">
              <a:xfrm>
                <a:off x="9093" y="13287"/>
                <a:ext cx="35" cy="47"/>
              </a:xfrm>
              <a:prstGeom prst="ellipse">
                <a:avLst/>
              </a:prstGeom>
              <a:solidFill>
                <a:srgbClr val="FFFFFF"/>
              </a:solidFill>
              <a:ln w="12700">
                <a:solidFill>
                  <a:srgbClr val="000000"/>
                </a:solidFill>
                <a:round/>
                <a:headEnd/>
                <a:tailEnd/>
              </a:ln>
              <a:effectLst/>
            </xdr:spPr>
          </xdr:sp>
          <xdr:sp macro="" textlink="">
            <xdr:nvSpPr>
              <xdr:cNvPr id="1082" name="Oval 58">
                <a:extLst>
                  <a:ext uri="{FF2B5EF4-FFF2-40B4-BE49-F238E27FC236}">
                    <a16:creationId xmlns:a16="http://schemas.microsoft.com/office/drawing/2014/main" id="{00000000-0008-0000-0000-00003A040000}"/>
                  </a:ext>
                </a:extLst>
              </xdr:cNvPr>
              <xdr:cNvSpPr>
                <a:spLocks noChangeArrowheads="1"/>
              </xdr:cNvSpPr>
            </xdr:nvSpPr>
            <xdr:spPr bwMode="auto">
              <a:xfrm>
                <a:off x="9503" y="12837"/>
                <a:ext cx="35" cy="47"/>
              </a:xfrm>
              <a:prstGeom prst="ellipse">
                <a:avLst/>
              </a:prstGeom>
              <a:solidFill>
                <a:srgbClr val="FFFFFF"/>
              </a:solidFill>
              <a:ln w="12700">
                <a:solidFill>
                  <a:srgbClr val="000000"/>
                </a:solidFill>
                <a:round/>
                <a:headEnd/>
                <a:tailEnd/>
              </a:ln>
              <a:effectLst/>
            </xdr:spPr>
          </xdr:sp>
        </xdr:grpSp>
        <xdr:grpSp>
          <xdr:nvGrpSpPr>
            <xdr:cNvPr id="1083" name="Group 59">
              <a:extLst>
                <a:ext uri="{FF2B5EF4-FFF2-40B4-BE49-F238E27FC236}">
                  <a16:creationId xmlns:a16="http://schemas.microsoft.com/office/drawing/2014/main" id="{00000000-0008-0000-0000-00003B040000}"/>
                </a:ext>
              </a:extLst>
            </xdr:cNvPr>
            <xdr:cNvGrpSpPr>
              <a:grpSpLocks/>
            </xdr:cNvGrpSpPr>
          </xdr:nvGrpSpPr>
          <xdr:grpSpPr bwMode="auto">
            <a:xfrm rot="18900000">
              <a:off x="8507" y="13840"/>
              <a:ext cx="155" cy="155"/>
              <a:chOff x="5263" y="2743"/>
              <a:chExt cx="155" cy="155"/>
            </a:xfrm>
          </xdr:grpSpPr>
          <xdr:cxnSp macro="">
            <xdr:nvCxnSpPr>
              <xdr:cNvPr id="1084" name="AutoShape 60">
                <a:extLst>
                  <a:ext uri="{FF2B5EF4-FFF2-40B4-BE49-F238E27FC236}">
                    <a16:creationId xmlns:a16="http://schemas.microsoft.com/office/drawing/2014/main" id="{00000000-0008-0000-0000-00003C040000}"/>
                  </a:ext>
                </a:extLst>
              </xdr:cNvPr>
              <xdr:cNvCxnSpPr>
                <a:cxnSpLocks noChangeShapeType="1"/>
              </xdr:cNvCxnSpPr>
            </xdr:nvCxnSpPr>
            <xdr:spPr bwMode="auto">
              <a:xfrm>
                <a:off x="5263" y="2824"/>
                <a:ext cx="155" cy="0"/>
              </a:xfrm>
              <a:prstGeom prst="straightConnector1">
                <a:avLst/>
              </a:prstGeom>
              <a:noFill/>
              <a:ln w="9525">
                <a:solidFill>
                  <a:srgbClr val="000000"/>
                </a:solidFill>
                <a:round/>
                <a:headEnd/>
                <a:tailEnd/>
              </a:ln>
            </xdr:spPr>
          </xdr:cxnSp>
          <xdr:cxnSp macro="">
            <xdr:nvCxnSpPr>
              <xdr:cNvPr id="1085" name="AutoShape 61">
                <a:extLst>
                  <a:ext uri="{FF2B5EF4-FFF2-40B4-BE49-F238E27FC236}">
                    <a16:creationId xmlns:a16="http://schemas.microsoft.com/office/drawing/2014/main" id="{00000000-0008-0000-0000-00003D040000}"/>
                  </a:ext>
                </a:extLst>
              </xdr:cNvPr>
              <xdr:cNvCxnSpPr>
                <a:cxnSpLocks noChangeShapeType="1"/>
              </xdr:cNvCxnSpPr>
            </xdr:nvCxnSpPr>
            <xdr:spPr bwMode="auto">
              <a:xfrm rot="5400000">
                <a:off x="5260" y="2821"/>
                <a:ext cx="155" cy="0"/>
              </a:xfrm>
              <a:prstGeom prst="straightConnector1">
                <a:avLst/>
              </a:prstGeom>
              <a:noFill/>
              <a:ln w="9525">
                <a:solidFill>
                  <a:srgbClr val="000000"/>
                </a:solidFill>
                <a:round/>
                <a:headEnd/>
                <a:tailEnd/>
              </a:ln>
            </xdr:spPr>
          </xdr:cxnSp>
        </xdr:grpSp>
      </xdr:grpSp>
    </xdr:grpSp>
    <xdr:clientData/>
  </xdr:twoCellAnchor>
  <xdr:twoCellAnchor>
    <xdr:from>
      <xdr:col>3</xdr:col>
      <xdr:colOff>473905</xdr:colOff>
      <xdr:row>29</xdr:row>
      <xdr:rowOff>140970</xdr:rowOff>
    </xdr:from>
    <xdr:to>
      <xdr:col>3</xdr:col>
      <xdr:colOff>1472124</xdr:colOff>
      <xdr:row>29</xdr:row>
      <xdr:rowOff>1055369</xdr:rowOff>
    </xdr:to>
    <xdr:grpSp>
      <xdr:nvGrpSpPr>
        <xdr:cNvPr id="1028" name="Group 4">
          <a:extLst>
            <a:ext uri="{FF2B5EF4-FFF2-40B4-BE49-F238E27FC236}">
              <a16:creationId xmlns:a16="http://schemas.microsoft.com/office/drawing/2014/main" id="{00000000-0008-0000-0000-000004040000}"/>
            </a:ext>
          </a:extLst>
        </xdr:cNvPr>
        <xdr:cNvGrpSpPr>
          <a:grpSpLocks/>
        </xdr:cNvGrpSpPr>
      </xdr:nvGrpSpPr>
      <xdr:grpSpPr bwMode="auto">
        <a:xfrm>
          <a:off x="5535762" y="15693934"/>
          <a:ext cx="998219" cy="914399"/>
          <a:chOff x="2514" y="5925"/>
          <a:chExt cx="2070" cy="1818"/>
        </a:xfrm>
      </xdr:grpSpPr>
      <xdr:grpSp>
        <xdr:nvGrpSpPr>
          <xdr:cNvPr id="1029" name="Group 5">
            <a:extLst>
              <a:ext uri="{FF2B5EF4-FFF2-40B4-BE49-F238E27FC236}">
                <a16:creationId xmlns:a16="http://schemas.microsoft.com/office/drawing/2014/main" id="{00000000-0008-0000-0000-000005040000}"/>
              </a:ext>
            </a:extLst>
          </xdr:cNvPr>
          <xdr:cNvGrpSpPr>
            <a:grpSpLocks/>
          </xdr:cNvGrpSpPr>
        </xdr:nvGrpSpPr>
        <xdr:grpSpPr bwMode="auto">
          <a:xfrm>
            <a:off x="3477" y="6912"/>
            <a:ext cx="199" cy="831"/>
            <a:chOff x="5430" y="5544"/>
            <a:chExt cx="199" cy="831"/>
          </a:xfrm>
        </xdr:grpSpPr>
        <xdr:grpSp>
          <xdr:nvGrpSpPr>
            <xdr:cNvPr id="1030" name="Group 6">
              <a:extLst>
                <a:ext uri="{FF2B5EF4-FFF2-40B4-BE49-F238E27FC236}">
                  <a16:creationId xmlns:a16="http://schemas.microsoft.com/office/drawing/2014/main" id="{00000000-0008-0000-0000-000006040000}"/>
                </a:ext>
              </a:extLst>
            </xdr:cNvPr>
            <xdr:cNvGrpSpPr>
              <a:grpSpLocks/>
            </xdr:cNvGrpSpPr>
          </xdr:nvGrpSpPr>
          <xdr:grpSpPr bwMode="auto">
            <a:xfrm>
              <a:off x="5430" y="5544"/>
              <a:ext cx="199" cy="199"/>
              <a:chOff x="7859" y="5397"/>
              <a:chExt cx="199" cy="199"/>
            </a:xfrm>
          </xdr:grpSpPr>
          <xdr:cxnSp macro="">
            <xdr:nvCxnSpPr>
              <xdr:cNvPr id="1031" name="AutoShape 7">
                <a:extLst>
                  <a:ext uri="{FF2B5EF4-FFF2-40B4-BE49-F238E27FC236}">
                    <a16:creationId xmlns:a16="http://schemas.microsoft.com/office/drawing/2014/main" id="{00000000-0008-0000-0000-000007040000}"/>
                  </a:ext>
                </a:extLst>
              </xdr:cNvPr>
              <xdr:cNvCxnSpPr>
                <a:cxnSpLocks noChangeShapeType="1"/>
              </xdr:cNvCxnSpPr>
            </xdr:nvCxnSpPr>
            <xdr:spPr bwMode="auto">
              <a:xfrm rot="2700000">
                <a:off x="7862" y="5497"/>
                <a:ext cx="199" cy="0"/>
              </a:xfrm>
              <a:prstGeom prst="straightConnector1">
                <a:avLst/>
              </a:prstGeom>
              <a:noFill/>
              <a:ln w="9525">
                <a:solidFill>
                  <a:srgbClr val="000000"/>
                </a:solidFill>
                <a:round/>
                <a:headEnd/>
                <a:tailEnd/>
              </a:ln>
            </xdr:spPr>
          </xdr:cxnSp>
          <xdr:cxnSp macro="">
            <xdr:nvCxnSpPr>
              <xdr:cNvPr id="1032" name="AutoShape 8">
                <a:extLst>
                  <a:ext uri="{FF2B5EF4-FFF2-40B4-BE49-F238E27FC236}">
                    <a16:creationId xmlns:a16="http://schemas.microsoft.com/office/drawing/2014/main" id="{00000000-0008-0000-0000-000008040000}"/>
                  </a:ext>
                </a:extLst>
              </xdr:cNvPr>
              <xdr:cNvCxnSpPr>
                <a:cxnSpLocks noChangeShapeType="1"/>
              </xdr:cNvCxnSpPr>
            </xdr:nvCxnSpPr>
            <xdr:spPr bwMode="auto">
              <a:xfrm rot="18900000">
                <a:off x="7859" y="5503"/>
                <a:ext cx="199" cy="0"/>
              </a:xfrm>
              <a:prstGeom prst="straightConnector1">
                <a:avLst/>
              </a:prstGeom>
              <a:noFill/>
              <a:ln w="9525">
                <a:solidFill>
                  <a:srgbClr val="000000"/>
                </a:solidFill>
                <a:round/>
                <a:headEnd/>
                <a:tailEnd/>
              </a:ln>
            </xdr:spPr>
          </xdr:cxnSp>
        </xdr:grpSp>
        <xdr:grpSp>
          <xdr:nvGrpSpPr>
            <xdr:cNvPr id="1033" name="Group 9">
              <a:extLst>
                <a:ext uri="{FF2B5EF4-FFF2-40B4-BE49-F238E27FC236}">
                  <a16:creationId xmlns:a16="http://schemas.microsoft.com/office/drawing/2014/main" id="{00000000-0008-0000-0000-000009040000}"/>
                </a:ext>
              </a:extLst>
            </xdr:cNvPr>
            <xdr:cNvGrpSpPr>
              <a:grpSpLocks/>
            </xdr:cNvGrpSpPr>
          </xdr:nvGrpSpPr>
          <xdr:grpSpPr bwMode="auto">
            <a:xfrm>
              <a:off x="5430" y="6176"/>
              <a:ext cx="199" cy="199"/>
              <a:chOff x="7859" y="5397"/>
              <a:chExt cx="199" cy="199"/>
            </a:xfrm>
          </xdr:grpSpPr>
          <xdr:cxnSp macro="">
            <xdr:nvCxnSpPr>
              <xdr:cNvPr id="1034" name="AutoShape 10">
                <a:extLst>
                  <a:ext uri="{FF2B5EF4-FFF2-40B4-BE49-F238E27FC236}">
                    <a16:creationId xmlns:a16="http://schemas.microsoft.com/office/drawing/2014/main" id="{00000000-0008-0000-0000-00000A040000}"/>
                  </a:ext>
                </a:extLst>
              </xdr:cNvPr>
              <xdr:cNvCxnSpPr>
                <a:cxnSpLocks noChangeShapeType="1"/>
              </xdr:cNvCxnSpPr>
            </xdr:nvCxnSpPr>
            <xdr:spPr bwMode="auto">
              <a:xfrm rot="2700000">
                <a:off x="7862" y="5497"/>
                <a:ext cx="199" cy="0"/>
              </a:xfrm>
              <a:prstGeom prst="straightConnector1">
                <a:avLst/>
              </a:prstGeom>
              <a:noFill/>
              <a:ln w="9525">
                <a:solidFill>
                  <a:srgbClr val="000000"/>
                </a:solidFill>
                <a:round/>
                <a:headEnd/>
                <a:tailEnd/>
              </a:ln>
            </xdr:spPr>
          </xdr:cxnSp>
          <xdr:cxnSp macro="">
            <xdr:nvCxnSpPr>
              <xdr:cNvPr id="1035" name="AutoShape 11">
                <a:extLst>
                  <a:ext uri="{FF2B5EF4-FFF2-40B4-BE49-F238E27FC236}">
                    <a16:creationId xmlns:a16="http://schemas.microsoft.com/office/drawing/2014/main" id="{00000000-0008-0000-0000-00000B040000}"/>
                  </a:ext>
                </a:extLst>
              </xdr:cNvPr>
              <xdr:cNvCxnSpPr>
                <a:cxnSpLocks noChangeShapeType="1"/>
              </xdr:cNvCxnSpPr>
            </xdr:nvCxnSpPr>
            <xdr:spPr bwMode="auto">
              <a:xfrm rot="18900000">
                <a:off x="7859" y="5503"/>
                <a:ext cx="199" cy="0"/>
              </a:xfrm>
              <a:prstGeom prst="straightConnector1">
                <a:avLst/>
              </a:prstGeom>
              <a:noFill/>
              <a:ln w="9525">
                <a:solidFill>
                  <a:srgbClr val="000000"/>
                </a:solidFill>
                <a:round/>
                <a:headEnd/>
                <a:tailEnd/>
              </a:ln>
            </xdr:spPr>
          </xdr:cxnSp>
        </xdr:grpSp>
      </xdr:grpSp>
      <xdr:grpSp>
        <xdr:nvGrpSpPr>
          <xdr:cNvPr id="1036" name="Group 12">
            <a:extLst>
              <a:ext uri="{FF2B5EF4-FFF2-40B4-BE49-F238E27FC236}">
                <a16:creationId xmlns:a16="http://schemas.microsoft.com/office/drawing/2014/main" id="{00000000-0008-0000-0000-00000C040000}"/>
              </a:ext>
            </a:extLst>
          </xdr:cNvPr>
          <xdr:cNvGrpSpPr>
            <a:grpSpLocks/>
          </xdr:cNvGrpSpPr>
        </xdr:nvGrpSpPr>
        <xdr:grpSpPr bwMode="auto">
          <a:xfrm>
            <a:off x="2514" y="5925"/>
            <a:ext cx="2070" cy="1729"/>
            <a:chOff x="2514" y="5925"/>
            <a:chExt cx="2070" cy="1729"/>
          </a:xfrm>
        </xdr:grpSpPr>
        <xdr:sp macro="" textlink="">
          <xdr:nvSpPr>
            <xdr:cNvPr id="1037" name="Line 13">
              <a:extLst>
                <a:ext uri="{FF2B5EF4-FFF2-40B4-BE49-F238E27FC236}">
                  <a16:creationId xmlns:a16="http://schemas.microsoft.com/office/drawing/2014/main" id="{00000000-0008-0000-0000-00000D040000}"/>
                </a:ext>
              </a:extLst>
            </xdr:cNvPr>
            <xdr:cNvSpPr>
              <a:spLocks noChangeShapeType="1"/>
            </xdr:cNvSpPr>
          </xdr:nvSpPr>
          <xdr:spPr bwMode="auto">
            <a:xfrm>
              <a:off x="4070" y="5972"/>
              <a:ext cx="2" cy="1064"/>
            </a:xfrm>
            <a:prstGeom prst="line">
              <a:avLst/>
            </a:prstGeom>
            <a:noFill/>
            <a:ln w="12700">
              <a:solidFill>
                <a:srgbClr val="000000"/>
              </a:solidFill>
              <a:round/>
              <a:headEnd type="none" w="sm" len="sm"/>
              <a:tailEnd type="none" w="sm" len="sm"/>
            </a:ln>
            <a:effectLst/>
          </xdr:spPr>
        </xdr:sp>
        <xdr:sp macro="" textlink="">
          <xdr:nvSpPr>
            <xdr:cNvPr id="1038" name="Line 14">
              <a:extLst>
                <a:ext uri="{FF2B5EF4-FFF2-40B4-BE49-F238E27FC236}">
                  <a16:creationId xmlns:a16="http://schemas.microsoft.com/office/drawing/2014/main" id="{00000000-0008-0000-0000-00000E040000}"/>
                </a:ext>
              </a:extLst>
            </xdr:cNvPr>
            <xdr:cNvSpPr>
              <a:spLocks noChangeShapeType="1"/>
            </xdr:cNvSpPr>
          </xdr:nvSpPr>
          <xdr:spPr bwMode="auto">
            <a:xfrm>
              <a:off x="2523" y="6421"/>
              <a:ext cx="825" cy="1"/>
            </a:xfrm>
            <a:prstGeom prst="line">
              <a:avLst/>
            </a:prstGeom>
            <a:noFill/>
            <a:ln w="50800">
              <a:solidFill>
                <a:srgbClr val="000000"/>
              </a:solidFill>
              <a:round/>
              <a:headEnd type="none" w="sm" len="sm"/>
              <a:tailEnd type="none" w="sm" len="sm"/>
            </a:ln>
            <a:effectLst/>
          </xdr:spPr>
        </xdr:sp>
        <xdr:sp macro="" textlink="">
          <xdr:nvSpPr>
            <xdr:cNvPr id="1039" name="Line 15">
              <a:extLst>
                <a:ext uri="{FF2B5EF4-FFF2-40B4-BE49-F238E27FC236}">
                  <a16:creationId xmlns:a16="http://schemas.microsoft.com/office/drawing/2014/main" id="{00000000-0008-0000-0000-00000F040000}"/>
                </a:ext>
              </a:extLst>
            </xdr:cNvPr>
            <xdr:cNvSpPr>
              <a:spLocks noChangeShapeType="1"/>
            </xdr:cNvSpPr>
          </xdr:nvSpPr>
          <xdr:spPr bwMode="auto">
            <a:xfrm>
              <a:off x="3759" y="6421"/>
              <a:ext cx="825" cy="1"/>
            </a:xfrm>
            <a:prstGeom prst="line">
              <a:avLst/>
            </a:prstGeom>
            <a:noFill/>
            <a:ln w="50800">
              <a:solidFill>
                <a:srgbClr val="000000"/>
              </a:solidFill>
              <a:round/>
              <a:headEnd type="none" w="sm" len="sm"/>
              <a:tailEnd type="none" w="sm" len="sm"/>
            </a:ln>
            <a:effectLst/>
          </xdr:spPr>
        </xdr:sp>
        <xdr:sp macro="" textlink="">
          <xdr:nvSpPr>
            <xdr:cNvPr id="1040" name="Line 16">
              <a:extLst>
                <a:ext uri="{FF2B5EF4-FFF2-40B4-BE49-F238E27FC236}">
                  <a16:creationId xmlns:a16="http://schemas.microsoft.com/office/drawing/2014/main" id="{00000000-0008-0000-0000-000010040000}"/>
                </a:ext>
              </a:extLst>
            </xdr:cNvPr>
            <xdr:cNvSpPr>
              <a:spLocks noChangeShapeType="1"/>
            </xdr:cNvSpPr>
          </xdr:nvSpPr>
          <xdr:spPr bwMode="auto">
            <a:xfrm>
              <a:off x="3052" y="7023"/>
              <a:ext cx="1031" cy="1"/>
            </a:xfrm>
            <a:prstGeom prst="line">
              <a:avLst/>
            </a:prstGeom>
            <a:noFill/>
            <a:ln w="12700">
              <a:solidFill>
                <a:srgbClr val="000000"/>
              </a:solidFill>
              <a:round/>
              <a:headEnd type="none" w="sm" len="sm"/>
              <a:tailEnd type="none" w="sm" len="sm"/>
            </a:ln>
            <a:effectLst/>
          </xdr:spPr>
        </xdr:sp>
        <xdr:sp macro="" textlink="">
          <xdr:nvSpPr>
            <xdr:cNvPr id="1041" name="Line 17">
              <a:extLst>
                <a:ext uri="{FF2B5EF4-FFF2-40B4-BE49-F238E27FC236}">
                  <a16:creationId xmlns:a16="http://schemas.microsoft.com/office/drawing/2014/main" id="{00000000-0008-0000-0000-000011040000}"/>
                </a:ext>
              </a:extLst>
            </xdr:cNvPr>
            <xdr:cNvSpPr>
              <a:spLocks noChangeShapeType="1"/>
            </xdr:cNvSpPr>
          </xdr:nvSpPr>
          <xdr:spPr bwMode="auto">
            <a:xfrm flipV="1">
              <a:off x="3052" y="6421"/>
              <a:ext cx="1" cy="604"/>
            </a:xfrm>
            <a:prstGeom prst="line">
              <a:avLst/>
            </a:prstGeom>
            <a:noFill/>
            <a:ln w="12700">
              <a:solidFill>
                <a:srgbClr val="000000"/>
              </a:solidFill>
              <a:round/>
              <a:headEnd type="none" w="sm" len="sm"/>
              <a:tailEnd type="none" w="sm" len="sm"/>
            </a:ln>
            <a:effectLst/>
          </xdr:spPr>
        </xdr:sp>
        <xdr:sp macro="" textlink="">
          <xdr:nvSpPr>
            <xdr:cNvPr id="1042" name="Line 18">
              <a:extLst>
                <a:ext uri="{FF2B5EF4-FFF2-40B4-BE49-F238E27FC236}">
                  <a16:creationId xmlns:a16="http://schemas.microsoft.com/office/drawing/2014/main" id="{00000000-0008-0000-0000-000012040000}"/>
                </a:ext>
              </a:extLst>
            </xdr:cNvPr>
            <xdr:cNvSpPr>
              <a:spLocks noChangeShapeType="1"/>
            </xdr:cNvSpPr>
          </xdr:nvSpPr>
          <xdr:spPr bwMode="auto">
            <a:xfrm>
              <a:off x="2689" y="6009"/>
              <a:ext cx="1" cy="1645"/>
            </a:xfrm>
            <a:prstGeom prst="line">
              <a:avLst/>
            </a:prstGeom>
            <a:noFill/>
            <a:ln w="12700">
              <a:solidFill>
                <a:srgbClr val="000000"/>
              </a:solidFill>
              <a:round/>
              <a:headEnd type="none" w="sm" len="sm"/>
              <a:tailEnd type="none" w="sm" len="sm"/>
            </a:ln>
            <a:effectLst/>
          </xdr:spPr>
        </xdr:sp>
        <xdr:sp macro="" textlink="">
          <xdr:nvSpPr>
            <xdr:cNvPr id="1043" name="Line 19">
              <a:extLst>
                <a:ext uri="{FF2B5EF4-FFF2-40B4-BE49-F238E27FC236}">
                  <a16:creationId xmlns:a16="http://schemas.microsoft.com/office/drawing/2014/main" id="{00000000-0008-0000-0000-000013040000}"/>
                </a:ext>
              </a:extLst>
            </xdr:cNvPr>
            <xdr:cNvSpPr>
              <a:spLocks noChangeShapeType="1"/>
            </xdr:cNvSpPr>
          </xdr:nvSpPr>
          <xdr:spPr bwMode="auto">
            <a:xfrm flipH="1">
              <a:off x="4396" y="6422"/>
              <a:ext cx="21" cy="1223"/>
            </a:xfrm>
            <a:prstGeom prst="line">
              <a:avLst/>
            </a:prstGeom>
            <a:noFill/>
            <a:ln w="12700">
              <a:solidFill>
                <a:srgbClr val="000000"/>
              </a:solidFill>
              <a:round/>
              <a:headEnd type="none" w="sm" len="sm"/>
              <a:tailEnd type="none" w="sm" len="sm"/>
            </a:ln>
            <a:effectLst/>
          </xdr:spPr>
        </xdr:sp>
        <xdr:sp macro="" textlink="">
          <xdr:nvSpPr>
            <xdr:cNvPr id="1044" name="Line 20">
              <a:extLst>
                <a:ext uri="{FF2B5EF4-FFF2-40B4-BE49-F238E27FC236}">
                  <a16:creationId xmlns:a16="http://schemas.microsoft.com/office/drawing/2014/main" id="{00000000-0008-0000-0000-000014040000}"/>
                </a:ext>
              </a:extLst>
            </xdr:cNvPr>
            <xdr:cNvSpPr>
              <a:spLocks noChangeShapeType="1"/>
            </xdr:cNvSpPr>
          </xdr:nvSpPr>
          <xdr:spPr bwMode="auto">
            <a:xfrm>
              <a:off x="2699" y="7640"/>
              <a:ext cx="1728" cy="1"/>
            </a:xfrm>
            <a:prstGeom prst="line">
              <a:avLst/>
            </a:prstGeom>
            <a:noFill/>
            <a:ln w="12700">
              <a:solidFill>
                <a:srgbClr val="000000"/>
              </a:solidFill>
              <a:round/>
              <a:headEnd type="none" w="sm" len="sm"/>
              <a:tailEnd type="none" w="sm" len="sm"/>
            </a:ln>
            <a:effectLst/>
          </xdr:spPr>
        </xdr:sp>
        <xdr:sp macro="" textlink="">
          <xdr:nvSpPr>
            <xdr:cNvPr id="1045" name="Line 21">
              <a:extLst>
                <a:ext uri="{FF2B5EF4-FFF2-40B4-BE49-F238E27FC236}">
                  <a16:creationId xmlns:a16="http://schemas.microsoft.com/office/drawing/2014/main" id="{00000000-0008-0000-0000-000015040000}"/>
                </a:ext>
              </a:extLst>
            </xdr:cNvPr>
            <xdr:cNvSpPr>
              <a:spLocks noChangeShapeType="1"/>
            </xdr:cNvSpPr>
          </xdr:nvSpPr>
          <xdr:spPr bwMode="auto">
            <a:xfrm flipH="1">
              <a:off x="4365" y="6614"/>
              <a:ext cx="81" cy="65"/>
            </a:xfrm>
            <a:prstGeom prst="line">
              <a:avLst/>
            </a:prstGeom>
            <a:noFill/>
            <a:ln w="12700">
              <a:solidFill>
                <a:srgbClr val="000000"/>
              </a:solidFill>
              <a:round/>
              <a:headEnd type="none" w="sm" len="sm"/>
              <a:tailEnd type="none" w="sm" len="sm"/>
            </a:ln>
            <a:effectLst/>
          </xdr:spPr>
        </xdr:sp>
        <xdr:sp macro="" textlink="">
          <xdr:nvSpPr>
            <xdr:cNvPr id="1046" name="Line 22">
              <a:extLst>
                <a:ext uri="{FF2B5EF4-FFF2-40B4-BE49-F238E27FC236}">
                  <a16:creationId xmlns:a16="http://schemas.microsoft.com/office/drawing/2014/main" id="{00000000-0008-0000-0000-000016040000}"/>
                </a:ext>
              </a:extLst>
            </xdr:cNvPr>
            <xdr:cNvSpPr>
              <a:spLocks noChangeShapeType="1"/>
            </xdr:cNvSpPr>
          </xdr:nvSpPr>
          <xdr:spPr bwMode="auto">
            <a:xfrm flipH="1">
              <a:off x="4026" y="6604"/>
              <a:ext cx="81" cy="65"/>
            </a:xfrm>
            <a:prstGeom prst="line">
              <a:avLst/>
            </a:prstGeom>
            <a:noFill/>
            <a:ln w="12700">
              <a:solidFill>
                <a:srgbClr val="000000"/>
              </a:solidFill>
              <a:round/>
              <a:headEnd type="none" w="sm" len="sm"/>
              <a:tailEnd type="none" w="sm" len="sm"/>
            </a:ln>
            <a:effectLst/>
          </xdr:spPr>
        </xdr:sp>
        <xdr:sp macro="" textlink="">
          <xdr:nvSpPr>
            <xdr:cNvPr id="1047" name="Line 23">
              <a:extLst>
                <a:ext uri="{FF2B5EF4-FFF2-40B4-BE49-F238E27FC236}">
                  <a16:creationId xmlns:a16="http://schemas.microsoft.com/office/drawing/2014/main" id="{00000000-0008-0000-0000-000017040000}"/>
                </a:ext>
              </a:extLst>
            </xdr:cNvPr>
            <xdr:cNvSpPr>
              <a:spLocks noChangeShapeType="1"/>
            </xdr:cNvSpPr>
          </xdr:nvSpPr>
          <xdr:spPr bwMode="auto">
            <a:xfrm flipH="1">
              <a:off x="3011" y="6625"/>
              <a:ext cx="81" cy="65"/>
            </a:xfrm>
            <a:prstGeom prst="line">
              <a:avLst/>
            </a:prstGeom>
            <a:noFill/>
            <a:ln w="12700">
              <a:solidFill>
                <a:srgbClr val="000000"/>
              </a:solidFill>
              <a:round/>
              <a:headEnd type="none" w="sm" len="sm"/>
              <a:tailEnd type="none" w="sm" len="sm"/>
            </a:ln>
            <a:effectLst/>
          </xdr:spPr>
        </xdr:sp>
        <xdr:sp macro="" textlink="">
          <xdr:nvSpPr>
            <xdr:cNvPr id="1048" name="Line 24">
              <a:extLst>
                <a:ext uri="{FF2B5EF4-FFF2-40B4-BE49-F238E27FC236}">
                  <a16:creationId xmlns:a16="http://schemas.microsoft.com/office/drawing/2014/main" id="{00000000-0008-0000-0000-000018040000}"/>
                </a:ext>
              </a:extLst>
            </xdr:cNvPr>
            <xdr:cNvSpPr>
              <a:spLocks noChangeShapeType="1"/>
            </xdr:cNvSpPr>
          </xdr:nvSpPr>
          <xdr:spPr bwMode="auto">
            <a:xfrm flipH="1">
              <a:off x="2642" y="6645"/>
              <a:ext cx="81" cy="65"/>
            </a:xfrm>
            <a:prstGeom prst="line">
              <a:avLst/>
            </a:prstGeom>
            <a:noFill/>
            <a:ln w="12700">
              <a:solidFill>
                <a:srgbClr val="000000"/>
              </a:solidFill>
              <a:round/>
              <a:headEnd type="none" w="sm" len="sm"/>
              <a:tailEnd type="none" w="sm" len="sm"/>
            </a:ln>
            <a:effectLst/>
          </xdr:spPr>
        </xdr:sp>
        <xdr:sp macro="" textlink="">
          <xdr:nvSpPr>
            <xdr:cNvPr id="1049" name="Line 25">
              <a:extLst>
                <a:ext uri="{FF2B5EF4-FFF2-40B4-BE49-F238E27FC236}">
                  <a16:creationId xmlns:a16="http://schemas.microsoft.com/office/drawing/2014/main" id="{00000000-0008-0000-0000-000019040000}"/>
                </a:ext>
              </a:extLst>
            </xdr:cNvPr>
            <xdr:cNvSpPr>
              <a:spLocks noChangeShapeType="1"/>
            </xdr:cNvSpPr>
          </xdr:nvSpPr>
          <xdr:spPr bwMode="auto">
            <a:xfrm>
              <a:off x="2514" y="5963"/>
              <a:ext cx="825" cy="1"/>
            </a:xfrm>
            <a:prstGeom prst="line">
              <a:avLst/>
            </a:prstGeom>
            <a:noFill/>
            <a:ln w="50800">
              <a:solidFill>
                <a:srgbClr val="000000"/>
              </a:solidFill>
              <a:round/>
              <a:headEnd type="none" w="sm" len="sm"/>
              <a:tailEnd type="none" w="sm" len="sm"/>
            </a:ln>
            <a:effectLst/>
          </xdr:spPr>
        </xdr:sp>
        <xdr:sp macro="" textlink="">
          <xdr:nvSpPr>
            <xdr:cNvPr id="1050" name="Line 26">
              <a:extLst>
                <a:ext uri="{FF2B5EF4-FFF2-40B4-BE49-F238E27FC236}">
                  <a16:creationId xmlns:a16="http://schemas.microsoft.com/office/drawing/2014/main" id="{00000000-0008-0000-0000-00001A040000}"/>
                </a:ext>
              </a:extLst>
            </xdr:cNvPr>
            <xdr:cNvSpPr>
              <a:spLocks noChangeShapeType="1"/>
            </xdr:cNvSpPr>
          </xdr:nvSpPr>
          <xdr:spPr bwMode="auto">
            <a:xfrm>
              <a:off x="3759" y="5964"/>
              <a:ext cx="825" cy="1"/>
            </a:xfrm>
            <a:prstGeom prst="line">
              <a:avLst/>
            </a:prstGeom>
            <a:noFill/>
            <a:ln w="50800">
              <a:solidFill>
                <a:srgbClr val="000000"/>
              </a:solidFill>
              <a:round/>
              <a:headEnd type="none" w="sm" len="sm"/>
              <a:tailEnd type="none" w="sm" len="sm"/>
            </a:ln>
            <a:effectLst/>
          </xdr:spPr>
        </xdr:sp>
        <xdr:sp macro="" textlink="">
          <xdr:nvSpPr>
            <xdr:cNvPr id="1051" name="Oval 27">
              <a:extLst>
                <a:ext uri="{FF2B5EF4-FFF2-40B4-BE49-F238E27FC236}">
                  <a16:creationId xmlns:a16="http://schemas.microsoft.com/office/drawing/2014/main" id="{00000000-0008-0000-0000-00001B040000}"/>
                </a:ext>
              </a:extLst>
            </xdr:cNvPr>
            <xdr:cNvSpPr>
              <a:spLocks noChangeArrowheads="1"/>
            </xdr:cNvSpPr>
          </xdr:nvSpPr>
          <xdr:spPr bwMode="auto">
            <a:xfrm>
              <a:off x="2681" y="5925"/>
              <a:ext cx="31" cy="47"/>
            </a:xfrm>
            <a:prstGeom prst="ellipse">
              <a:avLst/>
            </a:prstGeom>
            <a:solidFill>
              <a:srgbClr val="FFFFFF"/>
            </a:solidFill>
            <a:ln w="12700">
              <a:solidFill>
                <a:srgbClr val="000000"/>
              </a:solidFill>
              <a:round/>
              <a:headEnd/>
              <a:tailEnd/>
            </a:ln>
            <a:effectLst/>
          </xdr:spPr>
        </xdr:sp>
        <xdr:sp macro="" textlink="">
          <xdr:nvSpPr>
            <xdr:cNvPr id="1052" name="Oval 28">
              <a:extLst>
                <a:ext uri="{FF2B5EF4-FFF2-40B4-BE49-F238E27FC236}">
                  <a16:creationId xmlns:a16="http://schemas.microsoft.com/office/drawing/2014/main" id="{00000000-0008-0000-0000-00001C040000}"/>
                </a:ext>
              </a:extLst>
            </xdr:cNvPr>
            <xdr:cNvSpPr>
              <a:spLocks noChangeArrowheads="1"/>
            </xdr:cNvSpPr>
          </xdr:nvSpPr>
          <xdr:spPr bwMode="auto">
            <a:xfrm>
              <a:off x="3034" y="6393"/>
              <a:ext cx="31" cy="47"/>
            </a:xfrm>
            <a:prstGeom prst="ellipse">
              <a:avLst/>
            </a:prstGeom>
            <a:solidFill>
              <a:srgbClr val="FFFFFF"/>
            </a:solidFill>
            <a:ln w="12700">
              <a:solidFill>
                <a:srgbClr val="000000"/>
              </a:solidFill>
              <a:round/>
              <a:headEnd/>
              <a:tailEnd/>
            </a:ln>
            <a:effectLst/>
          </xdr:spPr>
        </xdr:sp>
        <xdr:sp macro="" textlink="">
          <xdr:nvSpPr>
            <xdr:cNvPr id="1053" name="Oval 29">
              <a:extLst>
                <a:ext uri="{FF2B5EF4-FFF2-40B4-BE49-F238E27FC236}">
                  <a16:creationId xmlns:a16="http://schemas.microsoft.com/office/drawing/2014/main" id="{00000000-0008-0000-0000-00001D040000}"/>
                </a:ext>
              </a:extLst>
            </xdr:cNvPr>
            <xdr:cNvSpPr>
              <a:spLocks noChangeArrowheads="1"/>
            </xdr:cNvSpPr>
          </xdr:nvSpPr>
          <xdr:spPr bwMode="auto">
            <a:xfrm>
              <a:off x="4045" y="5930"/>
              <a:ext cx="31" cy="47"/>
            </a:xfrm>
            <a:prstGeom prst="ellipse">
              <a:avLst/>
            </a:prstGeom>
            <a:solidFill>
              <a:srgbClr val="FFFFFF"/>
            </a:solidFill>
            <a:ln w="12700">
              <a:solidFill>
                <a:srgbClr val="000000"/>
              </a:solidFill>
              <a:round/>
              <a:headEnd/>
              <a:tailEnd/>
            </a:ln>
            <a:effectLst/>
          </xdr:spPr>
        </xdr:sp>
        <xdr:sp macro="" textlink="">
          <xdr:nvSpPr>
            <xdr:cNvPr id="1054" name="Oval 30">
              <a:extLst>
                <a:ext uri="{FF2B5EF4-FFF2-40B4-BE49-F238E27FC236}">
                  <a16:creationId xmlns:a16="http://schemas.microsoft.com/office/drawing/2014/main" id="{00000000-0008-0000-0000-00001E040000}"/>
                </a:ext>
              </a:extLst>
            </xdr:cNvPr>
            <xdr:cNvSpPr>
              <a:spLocks noChangeArrowheads="1"/>
            </xdr:cNvSpPr>
          </xdr:nvSpPr>
          <xdr:spPr bwMode="auto">
            <a:xfrm>
              <a:off x="4408" y="6399"/>
              <a:ext cx="31" cy="47"/>
            </a:xfrm>
            <a:prstGeom prst="ellipse">
              <a:avLst/>
            </a:prstGeom>
            <a:solidFill>
              <a:srgbClr val="FFFFFF"/>
            </a:solidFill>
            <a:ln w="12700">
              <a:solidFill>
                <a:srgbClr val="000000"/>
              </a:solidFill>
              <a:round/>
              <a:headEnd/>
              <a:tailEnd/>
            </a:ln>
            <a:effectLst/>
          </xdr:spPr>
        </xdr:sp>
      </xdr:grpSp>
    </xdr:grpSp>
    <xdr:clientData/>
  </xdr:twoCellAnchor>
  <xdr:twoCellAnchor>
    <xdr:from>
      <xdr:col>3</xdr:col>
      <xdr:colOff>409574</xdr:colOff>
      <xdr:row>30</xdr:row>
      <xdr:rowOff>180976</xdr:rowOff>
    </xdr:from>
    <xdr:to>
      <xdr:col>3</xdr:col>
      <xdr:colOff>1619249</xdr:colOff>
      <xdr:row>30</xdr:row>
      <xdr:rowOff>1019176</xdr:rowOff>
    </xdr:to>
    <xdr:grpSp>
      <xdr:nvGrpSpPr>
        <xdr:cNvPr id="1055" name="Group 31">
          <a:extLst>
            <a:ext uri="{FF2B5EF4-FFF2-40B4-BE49-F238E27FC236}">
              <a16:creationId xmlns:a16="http://schemas.microsoft.com/office/drawing/2014/main" id="{00000000-0008-0000-0000-00001F040000}"/>
            </a:ext>
          </a:extLst>
        </xdr:cNvPr>
        <xdr:cNvGrpSpPr>
          <a:grpSpLocks/>
        </xdr:cNvGrpSpPr>
      </xdr:nvGrpSpPr>
      <xdr:grpSpPr bwMode="auto">
        <a:xfrm>
          <a:off x="5471431" y="16863333"/>
          <a:ext cx="1209675" cy="838200"/>
          <a:chOff x="3450" y="5925"/>
          <a:chExt cx="2070" cy="1818"/>
        </a:xfrm>
      </xdr:grpSpPr>
      <xdr:grpSp>
        <xdr:nvGrpSpPr>
          <xdr:cNvPr id="1056" name="Group 32">
            <a:extLst>
              <a:ext uri="{FF2B5EF4-FFF2-40B4-BE49-F238E27FC236}">
                <a16:creationId xmlns:a16="http://schemas.microsoft.com/office/drawing/2014/main" id="{00000000-0008-0000-0000-000020040000}"/>
              </a:ext>
            </a:extLst>
          </xdr:cNvPr>
          <xdr:cNvGrpSpPr>
            <a:grpSpLocks/>
          </xdr:cNvGrpSpPr>
        </xdr:nvGrpSpPr>
        <xdr:grpSpPr bwMode="auto">
          <a:xfrm>
            <a:off x="4413" y="6912"/>
            <a:ext cx="199" cy="831"/>
            <a:chOff x="4413" y="6912"/>
            <a:chExt cx="199" cy="831"/>
          </a:xfrm>
        </xdr:grpSpPr>
        <xdr:grpSp>
          <xdr:nvGrpSpPr>
            <xdr:cNvPr id="1024" name="Group 33">
              <a:extLst>
                <a:ext uri="{FF2B5EF4-FFF2-40B4-BE49-F238E27FC236}">
                  <a16:creationId xmlns:a16="http://schemas.microsoft.com/office/drawing/2014/main" id="{00000000-0008-0000-0000-000000040000}"/>
                </a:ext>
              </a:extLst>
            </xdr:cNvPr>
            <xdr:cNvGrpSpPr>
              <a:grpSpLocks/>
            </xdr:cNvGrpSpPr>
          </xdr:nvGrpSpPr>
          <xdr:grpSpPr bwMode="auto">
            <a:xfrm>
              <a:off x="4413" y="6912"/>
              <a:ext cx="199" cy="199"/>
              <a:chOff x="7859" y="5397"/>
              <a:chExt cx="199" cy="199"/>
            </a:xfrm>
          </xdr:grpSpPr>
          <xdr:cxnSp macro="">
            <xdr:nvCxnSpPr>
              <xdr:cNvPr id="537" name="AutoShape 34">
                <a:extLst>
                  <a:ext uri="{FF2B5EF4-FFF2-40B4-BE49-F238E27FC236}">
                    <a16:creationId xmlns:a16="http://schemas.microsoft.com/office/drawing/2014/main" id="{00000000-0008-0000-0000-000019020000}"/>
                  </a:ext>
                </a:extLst>
              </xdr:cNvPr>
              <xdr:cNvCxnSpPr>
                <a:cxnSpLocks noChangeShapeType="1"/>
              </xdr:cNvCxnSpPr>
            </xdr:nvCxnSpPr>
            <xdr:spPr bwMode="auto">
              <a:xfrm rot="2700000">
                <a:off x="7862" y="5497"/>
                <a:ext cx="199" cy="0"/>
              </a:xfrm>
              <a:prstGeom prst="straightConnector1">
                <a:avLst/>
              </a:prstGeom>
              <a:noFill/>
              <a:ln w="9525">
                <a:solidFill>
                  <a:srgbClr val="000000"/>
                </a:solidFill>
                <a:round/>
                <a:headEnd/>
                <a:tailEnd/>
              </a:ln>
            </xdr:spPr>
          </xdr:cxnSp>
          <xdr:cxnSp macro="">
            <xdr:nvCxnSpPr>
              <xdr:cNvPr id="538" name="AutoShape 35">
                <a:extLst>
                  <a:ext uri="{FF2B5EF4-FFF2-40B4-BE49-F238E27FC236}">
                    <a16:creationId xmlns:a16="http://schemas.microsoft.com/office/drawing/2014/main" id="{00000000-0008-0000-0000-00001A020000}"/>
                  </a:ext>
                </a:extLst>
              </xdr:cNvPr>
              <xdr:cNvCxnSpPr>
                <a:cxnSpLocks noChangeShapeType="1"/>
              </xdr:cNvCxnSpPr>
            </xdr:nvCxnSpPr>
            <xdr:spPr bwMode="auto">
              <a:xfrm rot="18900000">
                <a:off x="7859" y="5503"/>
                <a:ext cx="199" cy="0"/>
              </a:xfrm>
              <a:prstGeom prst="straightConnector1">
                <a:avLst/>
              </a:prstGeom>
              <a:noFill/>
              <a:ln w="9525">
                <a:solidFill>
                  <a:srgbClr val="000000"/>
                </a:solidFill>
                <a:round/>
                <a:headEnd/>
                <a:tailEnd/>
              </a:ln>
            </xdr:spPr>
          </xdr:cxnSp>
        </xdr:grpSp>
        <xdr:grpSp>
          <xdr:nvGrpSpPr>
            <xdr:cNvPr id="1086" name="Group 36">
              <a:extLst>
                <a:ext uri="{FF2B5EF4-FFF2-40B4-BE49-F238E27FC236}">
                  <a16:creationId xmlns:a16="http://schemas.microsoft.com/office/drawing/2014/main" id="{00000000-0008-0000-0000-00003E040000}"/>
                </a:ext>
              </a:extLst>
            </xdr:cNvPr>
            <xdr:cNvGrpSpPr>
              <a:grpSpLocks/>
            </xdr:cNvGrpSpPr>
          </xdr:nvGrpSpPr>
          <xdr:grpSpPr bwMode="auto">
            <a:xfrm>
              <a:off x="4413" y="7544"/>
              <a:ext cx="199" cy="199"/>
              <a:chOff x="7859" y="5397"/>
              <a:chExt cx="199" cy="199"/>
            </a:xfrm>
          </xdr:grpSpPr>
          <xdr:cxnSp macro="">
            <xdr:nvCxnSpPr>
              <xdr:cNvPr id="1087" name="AutoShape 37">
                <a:extLst>
                  <a:ext uri="{FF2B5EF4-FFF2-40B4-BE49-F238E27FC236}">
                    <a16:creationId xmlns:a16="http://schemas.microsoft.com/office/drawing/2014/main" id="{00000000-0008-0000-0000-00003F040000}"/>
                  </a:ext>
                </a:extLst>
              </xdr:cNvPr>
              <xdr:cNvCxnSpPr>
                <a:cxnSpLocks noChangeShapeType="1"/>
              </xdr:cNvCxnSpPr>
            </xdr:nvCxnSpPr>
            <xdr:spPr bwMode="auto">
              <a:xfrm rot="2700000">
                <a:off x="7862" y="5497"/>
                <a:ext cx="199" cy="0"/>
              </a:xfrm>
              <a:prstGeom prst="straightConnector1">
                <a:avLst/>
              </a:prstGeom>
              <a:noFill/>
              <a:ln w="9525">
                <a:solidFill>
                  <a:srgbClr val="000000"/>
                </a:solidFill>
                <a:round/>
                <a:headEnd/>
                <a:tailEnd/>
              </a:ln>
            </xdr:spPr>
          </xdr:cxnSp>
          <xdr:cxnSp macro="">
            <xdr:nvCxnSpPr>
              <xdr:cNvPr id="536" name="AutoShape 38">
                <a:extLst>
                  <a:ext uri="{FF2B5EF4-FFF2-40B4-BE49-F238E27FC236}">
                    <a16:creationId xmlns:a16="http://schemas.microsoft.com/office/drawing/2014/main" id="{00000000-0008-0000-0000-000018020000}"/>
                  </a:ext>
                </a:extLst>
              </xdr:cNvPr>
              <xdr:cNvCxnSpPr>
                <a:cxnSpLocks noChangeShapeType="1"/>
              </xdr:cNvCxnSpPr>
            </xdr:nvCxnSpPr>
            <xdr:spPr bwMode="auto">
              <a:xfrm rot="18900000">
                <a:off x="7859" y="5503"/>
                <a:ext cx="199" cy="0"/>
              </a:xfrm>
              <a:prstGeom prst="straightConnector1">
                <a:avLst/>
              </a:prstGeom>
              <a:noFill/>
              <a:ln w="9525">
                <a:solidFill>
                  <a:srgbClr val="000000"/>
                </a:solidFill>
                <a:round/>
                <a:headEnd/>
                <a:tailEnd/>
              </a:ln>
            </xdr:spPr>
          </xdr:cxnSp>
        </xdr:grpSp>
      </xdr:grpSp>
      <xdr:grpSp>
        <xdr:nvGrpSpPr>
          <xdr:cNvPr id="47" name="Group 39">
            <a:extLst>
              <a:ext uri="{FF2B5EF4-FFF2-40B4-BE49-F238E27FC236}">
                <a16:creationId xmlns:a16="http://schemas.microsoft.com/office/drawing/2014/main" id="{00000000-0008-0000-0000-00002F000000}"/>
              </a:ext>
            </a:extLst>
          </xdr:cNvPr>
          <xdr:cNvGrpSpPr>
            <a:grpSpLocks/>
          </xdr:cNvGrpSpPr>
        </xdr:nvGrpSpPr>
        <xdr:grpSpPr bwMode="auto">
          <a:xfrm>
            <a:off x="3450" y="5925"/>
            <a:ext cx="2070" cy="1729"/>
            <a:chOff x="3450" y="5925"/>
            <a:chExt cx="2070" cy="1729"/>
          </a:xfrm>
        </xdr:grpSpPr>
        <xdr:sp macro="" textlink="">
          <xdr:nvSpPr>
            <xdr:cNvPr id="48" name="Line 40">
              <a:extLst>
                <a:ext uri="{FF2B5EF4-FFF2-40B4-BE49-F238E27FC236}">
                  <a16:creationId xmlns:a16="http://schemas.microsoft.com/office/drawing/2014/main" id="{00000000-0008-0000-0000-000030000000}"/>
                </a:ext>
              </a:extLst>
            </xdr:cNvPr>
            <xdr:cNvSpPr>
              <a:spLocks noChangeShapeType="1"/>
            </xdr:cNvSpPr>
          </xdr:nvSpPr>
          <xdr:spPr bwMode="auto">
            <a:xfrm>
              <a:off x="5012" y="6399"/>
              <a:ext cx="1" cy="624"/>
            </a:xfrm>
            <a:prstGeom prst="line">
              <a:avLst/>
            </a:prstGeom>
            <a:noFill/>
            <a:ln w="12700">
              <a:solidFill>
                <a:srgbClr val="000000"/>
              </a:solidFill>
              <a:round/>
              <a:headEnd type="none" w="sm" len="sm"/>
              <a:tailEnd type="none" w="sm" len="sm"/>
            </a:ln>
            <a:effectLst/>
          </xdr:spPr>
        </xdr:sp>
        <xdr:sp macro="" textlink="">
          <xdr:nvSpPr>
            <xdr:cNvPr id="49" name="Line 41">
              <a:extLst>
                <a:ext uri="{FF2B5EF4-FFF2-40B4-BE49-F238E27FC236}">
                  <a16:creationId xmlns:a16="http://schemas.microsoft.com/office/drawing/2014/main" id="{00000000-0008-0000-0000-000031000000}"/>
                </a:ext>
              </a:extLst>
            </xdr:cNvPr>
            <xdr:cNvSpPr>
              <a:spLocks noChangeShapeType="1"/>
            </xdr:cNvSpPr>
          </xdr:nvSpPr>
          <xdr:spPr bwMode="auto">
            <a:xfrm>
              <a:off x="3459" y="6421"/>
              <a:ext cx="825" cy="1"/>
            </a:xfrm>
            <a:prstGeom prst="line">
              <a:avLst/>
            </a:prstGeom>
            <a:noFill/>
            <a:ln w="50800">
              <a:solidFill>
                <a:srgbClr val="000000"/>
              </a:solidFill>
              <a:round/>
              <a:headEnd type="none" w="sm" len="sm"/>
              <a:tailEnd type="none" w="sm" len="sm"/>
            </a:ln>
            <a:effectLst/>
          </xdr:spPr>
        </xdr:sp>
        <xdr:sp macro="" textlink="">
          <xdr:nvSpPr>
            <xdr:cNvPr id="50" name="Line 42">
              <a:extLst>
                <a:ext uri="{FF2B5EF4-FFF2-40B4-BE49-F238E27FC236}">
                  <a16:creationId xmlns:a16="http://schemas.microsoft.com/office/drawing/2014/main" id="{00000000-0008-0000-0000-000032000000}"/>
                </a:ext>
              </a:extLst>
            </xdr:cNvPr>
            <xdr:cNvSpPr>
              <a:spLocks noChangeShapeType="1"/>
            </xdr:cNvSpPr>
          </xdr:nvSpPr>
          <xdr:spPr bwMode="auto">
            <a:xfrm>
              <a:off x="4695" y="6415"/>
              <a:ext cx="825" cy="1"/>
            </a:xfrm>
            <a:prstGeom prst="line">
              <a:avLst/>
            </a:prstGeom>
            <a:noFill/>
            <a:ln w="50800">
              <a:solidFill>
                <a:srgbClr val="000000"/>
              </a:solidFill>
              <a:round/>
              <a:headEnd type="none" w="sm" len="sm"/>
              <a:tailEnd type="none" w="sm" len="sm"/>
            </a:ln>
            <a:effectLst/>
          </xdr:spPr>
        </xdr:sp>
        <xdr:sp macro="" textlink="">
          <xdr:nvSpPr>
            <xdr:cNvPr id="51" name="Line 43">
              <a:extLst>
                <a:ext uri="{FF2B5EF4-FFF2-40B4-BE49-F238E27FC236}">
                  <a16:creationId xmlns:a16="http://schemas.microsoft.com/office/drawing/2014/main" id="{00000000-0008-0000-0000-000033000000}"/>
                </a:ext>
              </a:extLst>
            </xdr:cNvPr>
            <xdr:cNvSpPr>
              <a:spLocks noChangeShapeType="1"/>
            </xdr:cNvSpPr>
          </xdr:nvSpPr>
          <xdr:spPr bwMode="auto">
            <a:xfrm>
              <a:off x="3988" y="7023"/>
              <a:ext cx="1031" cy="1"/>
            </a:xfrm>
            <a:prstGeom prst="line">
              <a:avLst/>
            </a:prstGeom>
            <a:noFill/>
            <a:ln w="12700">
              <a:solidFill>
                <a:srgbClr val="000000"/>
              </a:solidFill>
              <a:round/>
              <a:headEnd type="none" w="sm" len="sm"/>
              <a:tailEnd type="none" w="sm" len="sm"/>
            </a:ln>
            <a:effectLst/>
          </xdr:spPr>
        </xdr:sp>
        <xdr:sp macro="" textlink="">
          <xdr:nvSpPr>
            <xdr:cNvPr id="52" name="Line 44">
              <a:extLst>
                <a:ext uri="{FF2B5EF4-FFF2-40B4-BE49-F238E27FC236}">
                  <a16:creationId xmlns:a16="http://schemas.microsoft.com/office/drawing/2014/main" id="{00000000-0008-0000-0000-000034000000}"/>
                </a:ext>
              </a:extLst>
            </xdr:cNvPr>
            <xdr:cNvSpPr>
              <a:spLocks noChangeShapeType="1"/>
            </xdr:cNvSpPr>
          </xdr:nvSpPr>
          <xdr:spPr bwMode="auto">
            <a:xfrm flipV="1">
              <a:off x="3988" y="6421"/>
              <a:ext cx="1" cy="604"/>
            </a:xfrm>
            <a:prstGeom prst="line">
              <a:avLst/>
            </a:prstGeom>
            <a:noFill/>
            <a:ln w="12700">
              <a:solidFill>
                <a:srgbClr val="000000"/>
              </a:solidFill>
              <a:round/>
              <a:headEnd type="none" w="sm" len="sm"/>
              <a:tailEnd type="none" w="sm" len="sm"/>
            </a:ln>
            <a:effectLst/>
          </xdr:spPr>
        </xdr:sp>
        <xdr:sp macro="" textlink="">
          <xdr:nvSpPr>
            <xdr:cNvPr id="53" name="Line 45">
              <a:extLst>
                <a:ext uri="{FF2B5EF4-FFF2-40B4-BE49-F238E27FC236}">
                  <a16:creationId xmlns:a16="http://schemas.microsoft.com/office/drawing/2014/main" id="{00000000-0008-0000-0000-000035000000}"/>
                </a:ext>
              </a:extLst>
            </xdr:cNvPr>
            <xdr:cNvSpPr>
              <a:spLocks noChangeShapeType="1"/>
            </xdr:cNvSpPr>
          </xdr:nvSpPr>
          <xdr:spPr bwMode="auto">
            <a:xfrm>
              <a:off x="3625" y="6009"/>
              <a:ext cx="1" cy="1645"/>
            </a:xfrm>
            <a:prstGeom prst="line">
              <a:avLst/>
            </a:prstGeom>
            <a:noFill/>
            <a:ln w="12700">
              <a:solidFill>
                <a:srgbClr val="000000"/>
              </a:solidFill>
              <a:round/>
              <a:headEnd type="none" w="sm" len="sm"/>
              <a:tailEnd type="none" w="sm" len="sm"/>
            </a:ln>
            <a:effectLst/>
          </xdr:spPr>
        </xdr:sp>
        <xdr:sp macro="" textlink="">
          <xdr:nvSpPr>
            <xdr:cNvPr id="54" name="Line 46">
              <a:extLst>
                <a:ext uri="{FF2B5EF4-FFF2-40B4-BE49-F238E27FC236}">
                  <a16:creationId xmlns:a16="http://schemas.microsoft.com/office/drawing/2014/main" id="{00000000-0008-0000-0000-000036000000}"/>
                </a:ext>
              </a:extLst>
            </xdr:cNvPr>
            <xdr:cNvSpPr>
              <a:spLocks noChangeShapeType="1"/>
            </xdr:cNvSpPr>
          </xdr:nvSpPr>
          <xdr:spPr bwMode="auto">
            <a:xfrm flipH="1">
              <a:off x="5332" y="5983"/>
              <a:ext cx="29" cy="1662"/>
            </a:xfrm>
            <a:prstGeom prst="line">
              <a:avLst/>
            </a:prstGeom>
            <a:noFill/>
            <a:ln w="12700">
              <a:solidFill>
                <a:srgbClr val="000000"/>
              </a:solidFill>
              <a:round/>
              <a:headEnd type="none" w="sm" len="sm"/>
              <a:tailEnd type="none" w="sm" len="sm"/>
            </a:ln>
            <a:effectLst/>
          </xdr:spPr>
        </xdr:sp>
        <xdr:sp macro="" textlink="">
          <xdr:nvSpPr>
            <xdr:cNvPr id="55" name="Line 47">
              <a:extLst>
                <a:ext uri="{FF2B5EF4-FFF2-40B4-BE49-F238E27FC236}">
                  <a16:creationId xmlns:a16="http://schemas.microsoft.com/office/drawing/2014/main" id="{00000000-0008-0000-0000-000037000000}"/>
                </a:ext>
              </a:extLst>
            </xdr:cNvPr>
            <xdr:cNvSpPr>
              <a:spLocks noChangeShapeType="1"/>
            </xdr:cNvSpPr>
          </xdr:nvSpPr>
          <xdr:spPr bwMode="auto">
            <a:xfrm>
              <a:off x="3635" y="7640"/>
              <a:ext cx="1728" cy="1"/>
            </a:xfrm>
            <a:prstGeom prst="line">
              <a:avLst/>
            </a:prstGeom>
            <a:noFill/>
            <a:ln w="12700">
              <a:solidFill>
                <a:srgbClr val="000000"/>
              </a:solidFill>
              <a:round/>
              <a:headEnd type="none" w="sm" len="sm"/>
              <a:tailEnd type="none" w="sm" len="sm"/>
            </a:ln>
            <a:effectLst/>
          </xdr:spPr>
        </xdr:sp>
        <xdr:sp macro="" textlink="">
          <xdr:nvSpPr>
            <xdr:cNvPr id="56" name="Line 48">
              <a:extLst>
                <a:ext uri="{FF2B5EF4-FFF2-40B4-BE49-F238E27FC236}">
                  <a16:creationId xmlns:a16="http://schemas.microsoft.com/office/drawing/2014/main" id="{00000000-0008-0000-0000-000038000000}"/>
                </a:ext>
              </a:extLst>
            </xdr:cNvPr>
            <xdr:cNvSpPr>
              <a:spLocks noChangeShapeType="1"/>
            </xdr:cNvSpPr>
          </xdr:nvSpPr>
          <xdr:spPr bwMode="auto">
            <a:xfrm flipH="1">
              <a:off x="5301" y="6614"/>
              <a:ext cx="81" cy="65"/>
            </a:xfrm>
            <a:prstGeom prst="line">
              <a:avLst/>
            </a:prstGeom>
            <a:noFill/>
            <a:ln w="12700">
              <a:solidFill>
                <a:srgbClr val="000000"/>
              </a:solidFill>
              <a:round/>
              <a:headEnd type="none" w="sm" len="sm"/>
              <a:tailEnd type="none" w="sm" len="sm"/>
            </a:ln>
            <a:effectLst/>
          </xdr:spPr>
        </xdr:sp>
        <xdr:sp macro="" textlink="">
          <xdr:nvSpPr>
            <xdr:cNvPr id="57" name="Line 49">
              <a:extLst>
                <a:ext uri="{FF2B5EF4-FFF2-40B4-BE49-F238E27FC236}">
                  <a16:creationId xmlns:a16="http://schemas.microsoft.com/office/drawing/2014/main" id="{00000000-0008-0000-0000-000039000000}"/>
                </a:ext>
              </a:extLst>
            </xdr:cNvPr>
            <xdr:cNvSpPr>
              <a:spLocks noChangeShapeType="1"/>
            </xdr:cNvSpPr>
          </xdr:nvSpPr>
          <xdr:spPr bwMode="auto">
            <a:xfrm flipH="1">
              <a:off x="4962" y="6604"/>
              <a:ext cx="81" cy="65"/>
            </a:xfrm>
            <a:prstGeom prst="line">
              <a:avLst/>
            </a:prstGeom>
            <a:noFill/>
            <a:ln w="12700">
              <a:solidFill>
                <a:srgbClr val="000000"/>
              </a:solidFill>
              <a:round/>
              <a:headEnd type="none" w="sm" len="sm"/>
              <a:tailEnd type="none" w="sm" len="sm"/>
            </a:ln>
            <a:effectLst/>
          </xdr:spPr>
        </xdr:sp>
        <xdr:sp macro="" textlink="">
          <xdr:nvSpPr>
            <xdr:cNvPr id="58" name="Line 50">
              <a:extLst>
                <a:ext uri="{FF2B5EF4-FFF2-40B4-BE49-F238E27FC236}">
                  <a16:creationId xmlns:a16="http://schemas.microsoft.com/office/drawing/2014/main" id="{00000000-0008-0000-0000-00003A000000}"/>
                </a:ext>
              </a:extLst>
            </xdr:cNvPr>
            <xdr:cNvSpPr>
              <a:spLocks noChangeShapeType="1"/>
            </xdr:cNvSpPr>
          </xdr:nvSpPr>
          <xdr:spPr bwMode="auto">
            <a:xfrm flipH="1">
              <a:off x="3947" y="6625"/>
              <a:ext cx="81" cy="65"/>
            </a:xfrm>
            <a:prstGeom prst="line">
              <a:avLst/>
            </a:prstGeom>
            <a:noFill/>
            <a:ln w="12700">
              <a:solidFill>
                <a:srgbClr val="000000"/>
              </a:solidFill>
              <a:round/>
              <a:headEnd type="none" w="sm" len="sm"/>
              <a:tailEnd type="none" w="sm" len="sm"/>
            </a:ln>
            <a:effectLst/>
          </xdr:spPr>
        </xdr:sp>
        <xdr:sp macro="" textlink="">
          <xdr:nvSpPr>
            <xdr:cNvPr id="59" name="Line 51">
              <a:extLst>
                <a:ext uri="{FF2B5EF4-FFF2-40B4-BE49-F238E27FC236}">
                  <a16:creationId xmlns:a16="http://schemas.microsoft.com/office/drawing/2014/main" id="{00000000-0008-0000-0000-00003B000000}"/>
                </a:ext>
              </a:extLst>
            </xdr:cNvPr>
            <xdr:cNvSpPr>
              <a:spLocks noChangeShapeType="1"/>
            </xdr:cNvSpPr>
          </xdr:nvSpPr>
          <xdr:spPr bwMode="auto">
            <a:xfrm flipH="1">
              <a:off x="3578" y="6645"/>
              <a:ext cx="81" cy="65"/>
            </a:xfrm>
            <a:prstGeom prst="line">
              <a:avLst/>
            </a:prstGeom>
            <a:noFill/>
            <a:ln w="12700">
              <a:solidFill>
                <a:srgbClr val="000000"/>
              </a:solidFill>
              <a:round/>
              <a:headEnd type="none" w="sm" len="sm"/>
              <a:tailEnd type="none" w="sm" len="sm"/>
            </a:ln>
            <a:effectLst/>
          </xdr:spPr>
        </xdr:sp>
        <xdr:sp macro="" textlink="">
          <xdr:nvSpPr>
            <xdr:cNvPr id="60" name="Line 52">
              <a:extLst>
                <a:ext uri="{FF2B5EF4-FFF2-40B4-BE49-F238E27FC236}">
                  <a16:creationId xmlns:a16="http://schemas.microsoft.com/office/drawing/2014/main" id="{00000000-0008-0000-0000-00003C000000}"/>
                </a:ext>
              </a:extLst>
            </xdr:cNvPr>
            <xdr:cNvSpPr>
              <a:spLocks noChangeShapeType="1"/>
            </xdr:cNvSpPr>
          </xdr:nvSpPr>
          <xdr:spPr bwMode="auto">
            <a:xfrm>
              <a:off x="3450" y="5963"/>
              <a:ext cx="825" cy="1"/>
            </a:xfrm>
            <a:prstGeom prst="line">
              <a:avLst/>
            </a:prstGeom>
            <a:noFill/>
            <a:ln w="50800">
              <a:solidFill>
                <a:srgbClr val="000000"/>
              </a:solidFill>
              <a:round/>
              <a:headEnd type="none" w="sm" len="sm"/>
              <a:tailEnd type="none" w="sm" len="sm"/>
            </a:ln>
            <a:effectLst/>
          </xdr:spPr>
        </xdr:sp>
        <xdr:sp macro="" textlink="">
          <xdr:nvSpPr>
            <xdr:cNvPr id="61" name="Line 53">
              <a:extLst>
                <a:ext uri="{FF2B5EF4-FFF2-40B4-BE49-F238E27FC236}">
                  <a16:creationId xmlns:a16="http://schemas.microsoft.com/office/drawing/2014/main" id="{00000000-0008-0000-0000-00003D000000}"/>
                </a:ext>
              </a:extLst>
            </xdr:cNvPr>
            <xdr:cNvSpPr>
              <a:spLocks noChangeShapeType="1"/>
            </xdr:cNvSpPr>
          </xdr:nvSpPr>
          <xdr:spPr bwMode="auto">
            <a:xfrm>
              <a:off x="4695" y="5964"/>
              <a:ext cx="825" cy="1"/>
            </a:xfrm>
            <a:prstGeom prst="line">
              <a:avLst/>
            </a:prstGeom>
            <a:noFill/>
            <a:ln w="50800">
              <a:solidFill>
                <a:srgbClr val="000000"/>
              </a:solidFill>
              <a:round/>
              <a:headEnd type="none" w="sm" len="sm"/>
              <a:tailEnd type="none" w="sm" len="sm"/>
            </a:ln>
            <a:effectLst/>
          </xdr:spPr>
        </xdr:sp>
        <xdr:sp macro="" textlink="">
          <xdr:nvSpPr>
            <xdr:cNvPr id="62" name="Oval 54">
              <a:extLst>
                <a:ext uri="{FF2B5EF4-FFF2-40B4-BE49-F238E27FC236}">
                  <a16:creationId xmlns:a16="http://schemas.microsoft.com/office/drawing/2014/main" id="{00000000-0008-0000-0000-00003E000000}"/>
                </a:ext>
              </a:extLst>
            </xdr:cNvPr>
            <xdr:cNvSpPr>
              <a:spLocks noChangeArrowheads="1"/>
            </xdr:cNvSpPr>
          </xdr:nvSpPr>
          <xdr:spPr bwMode="auto">
            <a:xfrm>
              <a:off x="3617" y="5925"/>
              <a:ext cx="31" cy="47"/>
            </a:xfrm>
            <a:prstGeom prst="ellipse">
              <a:avLst/>
            </a:prstGeom>
            <a:solidFill>
              <a:srgbClr val="FFFFFF"/>
            </a:solidFill>
            <a:ln w="12700">
              <a:solidFill>
                <a:srgbClr val="000000"/>
              </a:solidFill>
              <a:round/>
              <a:headEnd/>
              <a:tailEnd/>
            </a:ln>
            <a:effectLst/>
          </xdr:spPr>
        </xdr:sp>
        <xdr:sp macro="" textlink="">
          <xdr:nvSpPr>
            <xdr:cNvPr id="63" name="Oval 55">
              <a:extLst>
                <a:ext uri="{FF2B5EF4-FFF2-40B4-BE49-F238E27FC236}">
                  <a16:creationId xmlns:a16="http://schemas.microsoft.com/office/drawing/2014/main" id="{00000000-0008-0000-0000-00003F000000}"/>
                </a:ext>
              </a:extLst>
            </xdr:cNvPr>
            <xdr:cNvSpPr>
              <a:spLocks noChangeArrowheads="1"/>
            </xdr:cNvSpPr>
          </xdr:nvSpPr>
          <xdr:spPr bwMode="auto">
            <a:xfrm>
              <a:off x="3970" y="6393"/>
              <a:ext cx="31" cy="47"/>
            </a:xfrm>
            <a:prstGeom prst="ellipse">
              <a:avLst/>
            </a:prstGeom>
            <a:solidFill>
              <a:srgbClr val="FFFFFF"/>
            </a:solidFill>
            <a:ln w="12700">
              <a:solidFill>
                <a:srgbClr val="000000"/>
              </a:solidFill>
              <a:round/>
              <a:headEnd/>
              <a:tailEnd/>
            </a:ln>
            <a:effectLst/>
          </xdr:spPr>
        </xdr:sp>
        <xdr:sp macro="" textlink="">
          <xdr:nvSpPr>
            <xdr:cNvPr id="64" name="Oval 56">
              <a:extLst>
                <a:ext uri="{FF2B5EF4-FFF2-40B4-BE49-F238E27FC236}">
                  <a16:creationId xmlns:a16="http://schemas.microsoft.com/office/drawing/2014/main" id="{00000000-0008-0000-0000-000040000000}"/>
                </a:ext>
              </a:extLst>
            </xdr:cNvPr>
            <xdr:cNvSpPr>
              <a:spLocks noChangeArrowheads="1"/>
            </xdr:cNvSpPr>
          </xdr:nvSpPr>
          <xdr:spPr bwMode="auto">
            <a:xfrm>
              <a:off x="4981" y="5930"/>
              <a:ext cx="31" cy="47"/>
            </a:xfrm>
            <a:prstGeom prst="ellipse">
              <a:avLst/>
            </a:prstGeom>
            <a:solidFill>
              <a:srgbClr val="FFFFFF"/>
            </a:solidFill>
            <a:ln w="12700">
              <a:solidFill>
                <a:srgbClr val="000000"/>
              </a:solidFill>
              <a:round/>
              <a:headEnd/>
              <a:tailEnd/>
            </a:ln>
            <a:effectLst/>
          </xdr:spPr>
        </xdr:sp>
        <xdr:sp macro="" textlink="">
          <xdr:nvSpPr>
            <xdr:cNvPr id="65" name="Oval 57">
              <a:extLst>
                <a:ext uri="{FF2B5EF4-FFF2-40B4-BE49-F238E27FC236}">
                  <a16:creationId xmlns:a16="http://schemas.microsoft.com/office/drawing/2014/main" id="{00000000-0008-0000-0000-000041000000}"/>
                </a:ext>
              </a:extLst>
            </xdr:cNvPr>
            <xdr:cNvSpPr>
              <a:spLocks noChangeArrowheads="1"/>
            </xdr:cNvSpPr>
          </xdr:nvSpPr>
          <xdr:spPr bwMode="auto">
            <a:xfrm>
              <a:off x="5344" y="6399"/>
              <a:ext cx="31" cy="47"/>
            </a:xfrm>
            <a:prstGeom prst="ellipse">
              <a:avLst/>
            </a:prstGeom>
            <a:solidFill>
              <a:srgbClr val="FFFFFF"/>
            </a:solidFill>
            <a:ln w="12700">
              <a:solidFill>
                <a:srgbClr val="000000"/>
              </a:solidFill>
              <a:round/>
              <a:headEnd/>
              <a:tailEnd/>
            </a:ln>
            <a:effectLst/>
          </xdr:spPr>
        </xdr:sp>
      </xdr:grp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324" dT="2025-11-04T14:22:18.23" personId="{00000000-0000-0000-0000-000000000000}" id="{98485233-2E5A-4689-8315-476E74D24F15}">
    <text>4.3.4.1.1  din I7</text>
  </threadedComment>
  <threadedComment ref="C764" dT="2025-10-25T16:46:40.73" personId="{00000000-0000-0000-0000-000000000000}" id="{B61A920F-3AF0-41B8-AEF4-7636AC018BAD}">
    <text>Orice persoana juridica NU  fizica</text>
  </threadedComment>
  <threadedComment ref="B794" dT="2025-10-25T19:29:53.26" personId="{00000000-0000-0000-0000-000000000000}" id="{71FD63E2-8914-4DFF-992D-526369D585A1}">
    <text xml:space="preserve">client final - orice persoană fizică sau juridică ce cumpără energie electrică pentru consum propriu </text>
  </threadedComment>
  <threadedComment ref="B794" dT="2025-10-25T19:30:52.60" personId="{00000000-0000-0000-0000-000000000000}" id="{1FD7EF79-B758-4265-8EFA-22D2D9F60EE6}" parentId="{71FD63E2-8914-4DFF-992D-526369D585A1}">
    <text xml:space="preserve">în cuprinsul legii noțiunile de "client final" și "consumator" sunt echivalente; </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870"/>
  <sheetViews>
    <sheetView tabSelected="1" zoomScale="70" zoomScaleNormal="70" workbookViewId="0">
      <pane ySplit="6" topLeftCell="A852" activePane="bottomLeft" state="frozen"/>
      <selection activeCell="B1" sqref="B1"/>
      <selection pane="bottomLeft" activeCell="G8" sqref="G8"/>
    </sheetView>
  </sheetViews>
  <sheetFormatPr defaultRowHeight="15" x14ac:dyDescent="0.25"/>
  <cols>
    <col min="1" max="1" width="8" customWidth="1"/>
    <col min="2" max="2" width="38.5703125" customWidth="1"/>
    <col min="3" max="3" width="29.28515625" customWidth="1"/>
    <col min="4" max="4" width="28.42578125" customWidth="1"/>
    <col min="5" max="5" width="26" customWidth="1"/>
    <col min="6" max="6" width="4.28515625" customWidth="1"/>
    <col min="7" max="7" width="13.140625" customWidth="1"/>
    <col min="8" max="8" width="12.7109375" hidden="1" customWidth="1"/>
    <col min="9" max="11" width="8.85546875" hidden="1" customWidth="1"/>
    <col min="12" max="12" width="8.85546875" customWidth="1"/>
    <col min="13" max="13" width="7.42578125" customWidth="1"/>
    <col min="14" max="14" width="11.140625" customWidth="1"/>
    <col min="15" max="15" width="12.42578125" customWidth="1"/>
    <col min="16" max="16" width="13.28515625" customWidth="1"/>
    <col min="18" max="18" width="16.5703125" customWidth="1"/>
    <col min="19" max="20" width="15.5703125" customWidth="1"/>
    <col min="21" max="21" width="13.28515625" customWidth="1"/>
  </cols>
  <sheetData>
    <row r="1" spans="1:15" ht="10.9" customHeight="1" x14ac:dyDescent="0.25">
      <c r="B1" s="1"/>
      <c r="C1" s="2"/>
      <c r="D1" s="2"/>
      <c r="E1" s="103"/>
    </row>
    <row r="2" spans="1:15" ht="18" customHeight="1" x14ac:dyDescent="0.25">
      <c r="C2" s="6" t="s">
        <v>1024</v>
      </c>
      <c r="D2" s="2"/>
      <c r="E2" s="104" t="s">
        <v>3189</v>
      </c>
    </row>
    <row r="3" spans="1:15" ht="5.45" customHeight="1" x14ac:dyDescent="0.25">
      <c r="B3" s="1"/>
      <c r="C3" s="2"/>
      <c r="D3" s="2"/>
      <c r="E3" s="103"/>
    </row>
    <row r="4" spans="1:15" ht="15" customHeight="1" x14ac:dyDescent="0.25">
      <c r="B4" s="5" t="s">
        <v>904</v>
      </c>
      <c r="C4" s="2"/>
      <c r="D4" s="2"/>
      <c r="E4" s="104"/>
      <c r="M4" t="s">
        <v>3177</v>
      </c>
      <c r="N4" t="s">
        <v>3178</v>
      </c>
      <c r="O4" t="s">
        <v>3179</v>
      </c>
    </row>
    <row r="5" spans="1:15" ht="15" customHeight="1" x14ac:dyDescent="0.25">
      <c r="B5" s="1"/>
      <c r="C5" s="2"/>
      <c r="D5" s="2"/>
      <c r="E5" s="3"/>
      <c r="M5">
        <v>861</v>
      </c>
      <c r="N5">
        <f>COUNTA(G7:G867)</f>
        <v>1</v>
      </c>
      <c r="O5">
        <f>M5-N5</f>
        <v>860</v>
      </c>
    </row>
    <row r="6" spans="1:15" ht="37.5" customHeight="1" x14ac:dyDescent="0.25">
      <c r="A6" s="26" t="s">
        <v>3167</v>
      </c>
      <c r="B6" s="9" t="s">
        <v>1025</v>
      </c>
      <c r="C6" s="7" t="s">
        <v>0</v>
      </c>
      <c r="D6" s="7" t="s">
        <v>1</v>
      </c>
      <c r="E6" s="81" t="s">
        <v>2</v>
      </c>
      <c r="G6" s="7" t="s">
        <v>3187</v>
      </c>
      <c r="H6" s="80" t="s">
        <v>3188</v>
      </c>
      <c r="I6" s="80" t="s">
        <v>3184</v>
      </c>
      <c r="J6" s="80" t="s">
        <v>3185</v>
      </c>
      <c r="K6" s="80" t="s">
        <v>3186</v>
      </c>
      <c r="L6" s="80"/>
      <c r="N6" s="44">
        <f>N5/M5</f>
        <v>1.1614401858304297E-3</v>
      </c>
      <c r="O6" s="44"/>
    </row>
    <row r="7" spans="1:15" s="4" customFormat="1" ht="60" customHeight="1" x14ac:dyDescent="0.25">
      <c r="A7" s="27">
        <v>1</v>
      </c>
      <c r="B7" s="10" t="s">
        <v>3</v>
      </c>
      <c r="C7" s="56" t="s">
        <v>4</v>
      </c>
      <c r="D7" s="56" t="s">
        <v>5</v>
      </c>
      <c r="E7" s="82" t="s">
        <v>6</v>
      </c>
      <c r="G7" s="27" t="s">
        <v>3180</v>
      </c>
      <c r="H7" s="101" t="str">
        <f>IF(G7=0,"NECOMPLETAT",IF(OR(G7=I7,G7=J7,G7=K7),"CORECT","GRESIT"))</f>
        <v>CORECT</v>
      </c>
      <c r="I7" s="4" t="s">
        <v>3183</v>
      </c>
      <c r="J7" s="4" t="s">
        <v>3183</v>
      </c>
      <c r="K7" s="4" t="s">
        <v>3180</v>
      </c>
    </row>
    <row r="8" spans="1:15" s="4" customFormat="1" ht="30" customHeight="1" x14ac:dyDescent="0.25">
      <c r="A8" s="27">
        <v>2</v>
      </c>
      <c r="B8" s="10" t="s">
        <v>7</v>
      </c>
      <c r="C8" s="56" t="s">
        <v>8</v>
      </c>
      <c r="D8" s="57" t="s">
        <v>9</v>
      </c>
      <c r="E8" s="83" t="s">
        <v>10</v>
      </c>
      <c r="G8" s="27"/>
      <c r="H8" s="101" t="str">
        <f t="shared" ref="H8:H71" si="0">IF(G8=0,"NECOMPLETAT",IF(OR(G8=I8,G8=J8,G8=K8),"CORECT","GRESIT"))</f>
        <v>NECOMPLETAT</v>
      </c>
      <c r="I8" s="4" t="s">
        <v>3183</v>
      </c>
      <c r="J8" s="4" t="s">
        <v>3183</v>
      </c>
      <c r="K8" s="4" t="s">
        <v>3180</v>
      </c>
    </row>
    <row r="9" spans="1:15" s="4" customFormat="1" ht="30" customHeight="1" x14ac:dyDescent="0.25">
      <c r="A9" s="27">
        <v>3</v>
      </c>
      <c r="B9" s="11" t="s">
        <v>11</v>
      </c>
      <c r="C9" s="57" t="s">
        <v>12</v>
      </c>
      <c r="D9" s="57" t="s">
        <v>13</v>
      </c>
      <c r="E9" s="83" t="s">
        <v>14</v>
      </c>
      <c r="G9" s="27"/>
      <c r="H9" s="101" t="str">
        <f t="shared" si="0"/>
        <v>NECOMPLETAT</v>
      </c>
      <c r="I9" s="4" t="s">
        <v>3183</v>
      </c>
      <c r="J9" s="4" t="s">
        <v>3183</v>
      </c>
      <c r="K9" s="4" t="s">
        <v>3180</v>
      </c>
    </row>
    <row r="10" spans="1:15" s="4" customFormat="1" ht="55.5" customHeight="1" x14ac:dyDescent="0.25">
      <c r="A10" s="27">
        <v>4</v>
      </c>
      <c r="B10" s="10" t="s">
        <v>903</v>
      </c>
      <c r="C10" s="57" t="s">
        <v>15</v>
      </c>
      <c r="D10" s="57" t="s">
        <v>1028</v>
      </c>
      <c r="E10" s="83" t="s">
        <v>16</v>
      </c>
      <c r="G10" s="27"/>
      <c r="H10" s="101" t="str">
        <f t="shared" si="0"/>
        <v>NECOMPLETAT</v>
      </c>
      <c r="I10" s="4" t="s">
        <v>3183</v>
      </c>
      <c r="J10" s="4" t="s">
        <v>3182</v>
      </c>
      <c r="K10" s="4" t="s">
        <v>3183</v>
      </c>
      <c r="O10"/>
    </row>
    <row r="11" spans="1:15" s="4" customFormat="1" ht="60" customHeight="1" x14ac:dyDescent="0.25">
      <c r="A11" s="27">
        <v>5</v>
      </c>
      <c r="B11" s="10" t="s">
        <v>997</v>
      </c>
      <c r="C11" s="57" t="s">
        <v>17</v>
      </c>
      <c r="D11" s="57" t="s">
        <v>18</v>
      </c>
      <c r="E11" s="83" t="s">
        <v>19</v>
      </c>
      <c r="G11" s="27"/>
      <c r="H11" s="101" t="str">
        <f t="shared" si="0"/>
        <v>NECOMPLETAT</v>
      </c>
      <c r="I11" s="4" t="s">
        <v>3183</v>
      </c>
      <c r="J11" s="4" t="s">
        <v>3182</v>
      </c>
      <c r="K11" s="4" t="s">
        <v>3183</v>
      </c>
    </row>
    <row r="12" spans="1:15" s="4" customFormat="1" ht="30" customHeight="1" x14ac:dyDescent="0.25">
      <c r="A12" s="27">
        <v>6</v>
      </c>
      <c r="B12" s="10" t="s">
        <v>20</v>
      </c>
      <c r="C12" s="57" t="s">
        <v>21</v>
      </c>
      <c r="D12" s="57" t="s">
        <v>22</v>
      </c>
      <c r="E12" s="83" t="s">
        <v>23</v>
      </c>
      <c r="G12" s="27"/>
      <c r="H12" s="101" t="str">
        <f t="shared" si="0"/>
        <v>NECOMPLETAT</v>
      </c>
      <c r="I12" s="4" t="s">
        <v>3183</v>
      </c>
      <c r="J12" s="4" t="s">
        <v>3182</v>
      </c>
      <c r="K12" s="4" t="s">
        <v>3183</v>
      </c>
    </row>
    <row r="13" spans="1:15" s="4" customFormat="1" ht="30" customHeight="1" x14ac:dyDescent="0.25">
      <c r="A13" s="27">
        <v>7</v>
      </c>
      <c r="B13" s="11" t="s">
        <v>24</v>
      </c>
      <c r="C13" s="56" t="s">
        <v>25</v>
      </c>
      <c r="D13" s="56" t="s">
        <v>26</v>
      </c>
      <c r="E13" s="83" t="s">
        <v>27</v>
      </c>
      <c r="G13" s="27"/>
      <c r="H13" s="101" t="str">
        <f t="shared" si="0"/>
        <v>NECOMPLETAT</v>
      </c>
      <c r="I13" s="4" t="s">
        <v>3181</v>
      </c>
      <c r="J13" s="4" t="s">
        <v>3183</v>
      </c>
      <c r="K13" s="4" t="s">
        <v>3183</v>
      </c>
    </row>
    <row r="14" spans="1:15" s="4" customFormat="1" ht="179.25" customHeight="1" x14ac:dyDescent="0.25">
      <c r="A14" s="27">
        <v>8</v>
      </c>
      <c r="B14" s="12" t="s">
        <v>28</v>
      </c>
      <c r="C14" s="57" t="s">
        <v>29</v>
      </c>
      <c r="D14" s="57" t="s">
        <v>30</v>
      </c>
      <c r="E14" s="83" t="s">
        <v>31</v>
      </c>
      <c r="G14" s="27"/>
      <c r="H14" s="101" t="str">
        <f t="shared" si="0"/>
        <v>NECOMPLETAT</v>
      </c>
      <c r="I14" s="4" t="s">
        <v>3183</v>
      </c>
      <c r="J14" s="4" t="s">
        <v>3182</v>
      </c>
      <c r="K14" s="4" t="s">
        <v>3183</v>
      </c>
    </row>
    <row r="15" spans="1:15" s="4" customFormat="1" ht="30" customHeight="1" x14ac:dyDescent="0.25">
      <c r="A15" s="27">
        <v>9</v>
      </c>
      <c r="B15" s="10" t="s">
        <v>32</v>
      </c>
      <c r="C15" s="56" t="s">
        <v>33</v>
      </c>
      <c r="D15" s="56" t="s">
        <v>34</v>
      </c>
      <c r="E15" s="82" t="s">
        <v>35</v>
      </c>
      <c r="G15" s="27"/>
      <c r="H15" s="101" t="str">
        <f t="shared" si="0"/>
        <v>NECOMPLETAT</v>
      </c>
      <c r="I15" s="4" t="s">
        <v>3183</v>
      </c>
      <c r="J15" s="4" t="s">
        <v>3183</v>
      </c>
      <c r="K15" s="4" t="s">
        <v>3180</v>
      </c>
    </row>
    <row r="16" spans="1:15" s="4" customFormat="1" ht="30" customHeight="1" x14ac:dyDescent="0.25">
      <c r="A16" s="27">
        <v>10</v>
      </c>
      <c r="B16" s="10" t="s">
        <v>36</v>
      </c>
      <c r="C16" s="57" t="s">
        <v>37</v>
      </c>
      <c r="D16" s="57" t="s">
        <v>38</v>
      </c>
      <c r="E16" s="83" t="s">
        <v>39</v>
      </c>
      <c r="G16" s="27"/>
      <c r="H16" s="101" t="str">
        <f t="shared" si="0"/>
        <v>NECOMPLETAT</v>
      </c>
      <c r="I16" s="4" t="s">
        <v>3183</v>
      </c>
      <c r="J16" s="4" t="s">
        <v>3183</v>
      </c>
      <c r="K16" s="4" t="s">
        <v>3180</v>
      </c>
    </row>
    <row r="17" spans="1:11" s="4" customFormat="1" ht="30" customHeight="1" x14ac:dyDescent="0.25">
      <c r="A17" s="27">
        <v>11</v>
      </c>
      <c r="B17" s="10" t="s">
        <v>40</v>
      </c>
      <c r="C17" s="56" t="s">
        <v>41</v>
      </c>
      <c r="D17" s="57" t="s">
        <v>42</v>
      </c>
      <c r="E17" s="83" t="s">
        <v>43</v>
      </c>
      <c r="G17" s="27"/>
      <c r="H17" s="101" t="str">
        <f t="shared" si="0"/>
        <v>NECOMPLETAT</v>
      </c>
      <c r="I17" s="4" t="s">
        <v>3183</v>
      </c>
      <c r="J17" s="4" t="s">
        <v>3182</v>
      </c>
      <c r="K17" s="4" t="s">
        <v>3183</v>
      </c>
    </row>
    <row r="18" spans="1:11" s="4" customFormat="1" ht="20.25" customHeight="1" x14ac:dyDescent="0.25">
      <c r="A18" s="27">
        <v>12</v>
      </c>
      <c r="B18" s="10" t="s">
        <v>905</v>
      </c>
      <c r="C18" s="57" t="s">
        <v>906</v>
      </c>
      <c r="D18" s="57" t="s">
        <v>907</v>
      </c>
      <c r="E18" s="83" t="s">
        <v>44</v>
      </c>
      <c r="G18" s="27"/>
      <c r="H18" s="101" t="str">
        <f t="shared" si="0"/>
        <v>NECOMPLETAT</v>
      </c>
      <c r="I18" s="4" t="s">
        <v>3181</v>
      </c>
      <c r="J18" s="4" t="s">
        <v>3183</v>
      </c>
      <c r="K18" s="4" t="s">
        <v>3183</v>
      </c>
    </row>
    <row r="19" spans="1:11" s="4" customFormat="1" ht="45" customHeight="1" x14ac:dyDescent="0.25">
      <c r="A19" s="27">
        <v>13</v>
      </c>
      <c r="B19" s="10" t="s">
        <v>45</v>
      </c>
      <c r="C19" s="57" t="s">
        <v>46</v>
      </c>
      <c r="D19" s="57" t="s">
        <v>47</v>
      </c>
      <c r="E19" s="83" t="s">
        <v>48</v>
      </c>
      <c r="G19" s="27"/>
      <c r="H19" s="101" t="str">
        <f t="shared" si="0"/>
        <v>NECOMPLETAT</v>
      </c>
      <c r="I19" s="4" t="s">
        <v>3183</v>
      </c>
      <c r="J19" s="4" t="s">
        <v>3183</v>
      </c>
      <c r="K19" s="4" t="s">
        <v>3180</v>
      </c>
    </row>
    <row r="20" spans="1:11" s="4" customFormat="1" ht="30" customHeight="1" x14ac:dyDescent="0.25">
      <c r="A20" s="27">
        <v>14</v>
      </c>
      <c r="B20" s="10" t="s">
        <v>908</v>
      </c>
      <c r="C20" s="57" t="s">
        <v>909</v>
      </c>
      <c r="D20" s="57" t="s">
        <v>864</v>
      </c>
      <c r="E20" s="83" t="s">
        <v>998</v>
      </c>
      <c r="G20" s="27"/>
      <c r="H20" s="101" t="str">
        <f t="shared" si="0"/>
        <v>NECOMPLETAT</v>
      </c>
      <c r="I20" s="4" t="s">
        <v>3183</v>
      </c>
      <c r="J20" s="4" t="s">
        <v>3183</v>
      </c>
      <c r="K20" s="4" t="s">
        <v>3180</v>
      </c>
    </row>
    <row r="21" spans="1:11" s="4" customFormat="1" ht="45" customHeight="1" x14ac:dyDescent="0.25">
      <c r="A21" s="27">
        <v>15</v>
      </c>
      <c r="B21" s="10" t="s">
        <v>49</v>
      </c>
      <c r="C21" s="57" t="s">
        <v>50</v>
      </c>
      <c r="D21" s="57" t="s">
        <v>51</v>
      </c>
      <c r="E21" s="84" t="s">
        <v>52</v>
      </c>
      <c r="G21" s="27"/>
      <c r="H21" s="101" t="str">
        <f t="shared" si="0"/>
        <v>NECOMPLETAT</v>
      </c>
      <c r="I21" s="4" t="s">
        <v>3181</v>
      </c>
      <c r="J21" s="4" t="s">
        <v>3183</v>
      </c>
      <c r="K21" s="4" t="s">
        <v>3183</v>
      </c>
    </row>
    <row r="22" spans="1:11" s="4" customFormat="1" ht="45" customHeight="1" x14ac:dyDescent="0.25">
      <c r="A22" s="27">
        <v>16</v>
      </c>
      <c r="B22" s="10" t="s">
        <v>53</v>
      </c>
      <c r="C22" s="57" t="s">
        <v>54</v>
      </c>
      <c r="D22" s="57" t="s">
        <v>55</v>
      </c>
      <c r="E22" s="83" t="s">
        <v>56</v>
      </c>
      <c r="G22" s="27"/>
      <c r="H22" s="101" t="str">
        <f t="shared" si="0"/>
        <v>NECOMPLETAT</v>
      </c>
      <c r="I22" s="4" t="s">
        <v>3183</v>
      </c>
      <c r="J22" s="4" t="s">
        <v>3182</v>
      </c>
      <c r="K22" s="4" t="s">
        <v>3183</v>
      </c>
    </row>
    <row r="23" spans="1:11" s="4" customFormat="1" ht="60" customHeight="1" x14ac:dyDescent="0.25">
      <c r="A23" s="27">
        <v>17</v>
      </c>
      <c r="B23" s="10" t="s">
        <v>57</v>
      </c>
      <c r="C23" s="57" t="s">
        <v>58</v>
      </c>
      <c r="D23" s="57" t="s">
        <v>59</v>
      </c>
      <c r="E23" s="83" t="s">
        <v>60</v>
      </c>
      <c r="G23" s="27"/>
      <c r="H23" s="101" t="str">
        <f t="shared" si="0"/>
        <v>NECOMPLETAT</v>
      </c>
      <c r="I23" s="4" t="s">
        <v>3181</v>
      </c>
      <c r="J23" s="4" t="s">
        <v>3183</v>
      </c>
      <c r="K23" s="4" t="s">
        <v>3183</v>
      </c>
    </row>
    <row r="24" spans="1:11" s="4" customFormat="1" ht="61.5" customHeight="1" x14ac:dyDescent="0.25">
      <c r="A24" s="27">
        <v>18</v>
      </c>
      <c r="B24" s="10" t="s">
        <v>61</v>
      </c>
      <c r="C24" s="57" t="s">
        <v>62</v>
      </c>
      <c r="D24" s="57" t="s">
        <v>63</v>
      </c>
      <c r="E24" s="83" t="s">
        <v>64</v>
      </c>
      <c r="G24" s="27"/>
      <c r="H24" s="101" t="str">
        <f t="shared" si="0"/>
        <v>NECOMPLETAT</v>
      </c>
      <c r="I24" s="4" t="s">
        <v>3181</v>
      </c>
      <c r="J24" s="4" t="s">
        <v>3183</v>
      </c>
      <c r="K24" s="4" t="s">
        <v>3183</v>
      </c>
    </row>
    <row r="25" spans="1:11" s="4" customFormat="1" ht="45" customHeight="1" x14ac:dyDescent="0.25">
      <c r="A25" s="27">
        <v>19</v>
      </c>
      <c r="B25" s="10" t="s">
        <v>65</v>
      </c>
      <c r="C25" s="57" t="s">
        <v>66</v>
      </c>
      <c r="D25" s="57" t="s">
        <v>67</v>
      </c>
      <c r="E25" s="83" t="s">
        <v>68</v>
      </c>
      <c r="G25" s="27"/>
      <c r="H25" s="101" t="str">
        <f t="shared" si="0"/>
        <v>NECOMPLETAT</v>
      </c>
      <c r="I25" s="4" t="s">
        <v>3183</v>
      </c>
      <c r="J25" s="4" t="s">
        <v>3182</v>
      </c>
      <c r="K25" s="4" t="s">
        <v>3183</v>
      </c>
    </row>
    <row r="26" spans="1:11" s="4" customFormat="1" ht="45" customHeight="1" x14ac:dyDescent="0.25">
      <c r="A26" s="27">
        <v>20</v>
      </c>
      <c r="B26" s="10" t="s">
        <v>69</v>
      </c>
      <c r="C26" s="57" t="s">
        <v>70</v>
      </c>
      <c r="D26" s="57" t="s">
        <v>71</v>
      </c>
      <c r="E26" s="83" t="s">
        <v>72</v>
      </c>
      <c r="G26" s="27"/>
      <c r="H26" s="101" t="str">
        <f t="shared" si="0"/>
        <v>NECOMPLETAT</v>
      </c>
      <c r="I26" s="4" t="s">
        <v>3181</v>
      </c>
      <c r="J26" s="4" t="s">
        <v>3183</v>
      </c>
      <c r="K26" s="4" t="s">
        <v>3183</v>
      </c>
    </row>
    <row r="27" spans="1:11" s="4" customFormat="1" ht="30" customHeight="1" x14ac:dyDescent="0.25">
      <c r="A27" s="27">
        <v>21</v>
      </c>
      <c r="B27" s="11" t="s">
        <v>73</v>
      </c>
      <c r="C27" s="56" t="s">
        <v>74</v>
      </c>
      <c r="D27" s="56" t="s">
        <v>75</v>
      </c>
      <c r="E27" s="83" t="s">
        <v>76</v>
      </c>
      <c r="G27" s="27"/>
      <c r="H27" s="101" t="str">
        <f t="shared" si="0"/>
        <v>NECOMPLETAT</v>
      </c>
      <c r="I27" s="4" t="s">
        <v>3183</v>
      </c>
      <c r="J27" s="4" t="s">
        <v>3182</v>
      </c>
      <c r="K27" s="4" t="s">
        <v>3183</v>
      </c>
    </row>
    <row r="28" spans="1:11" s="4" customFormat="1" ht="45" customHeight="1" x14ac:dyDescent="0.25">
      <c r="A28" s="27">
        <v>22</v>
      </c>
      <c r="B28" s="10" t="s">
        <v>77</v>
      </c>
      <c r="C28" s="57" t="s">
        <v>78</v>
      </c>
      <c r="D28" s="57" t="s">
        <v>79</v>
      </c>
      <c r="E28" s="83" t="s">
        <v>80</v>
      </c>
      <c r="G28" s="27"/>
      <c r="H28" s="101" t="str">
        <f t="shared" si="0"/>
        <v>NECOMPLETAT</v>
      </c>
      <c r="I28" s="4" t="s">
        <v>3181</v>
      </c>
      <c r="J28" s="4" t="s">
        <v>3183</v>
      </c>
      <c r="K28" s="4" t="s">
        <v>3183</v>
      </c>
    </row>
    <row r="29" spans="1:11" s="4" customFormat="1" ht="86.25" customHeight="1" x14ac:dyDescent="0.25">
      <c r="A29" s="27">
        <v>23</v>
      </c>
      <c r="B29" s="13" t="s">
        <v>1033</v>
      </c>
      <c r="C29" s="57"/>
      <c r="D29" s="57"/>
      <c r="E29" s="83"/>
      <c r="G29" s="27"/>
      <c r="H29" s="101" t="str">
        <f t="shared" si="0"/>
        <v>NECOMPLETAT</v>
      </c>
      <c r="I29" s="4" t="s">
        <v>3181</v>
      </c>
      <c r="J29" s="4" t="s">
        <v>3183</v>
      </c>
      <c r="K29" s="4" t="s">
        <v>3183</v>
      </c>
    </row>
    <row r="30" spans="1:11" s="4" customFormat="1" ht="89.25" customHeight="1" x14ac:dyDescent="0.25">
      <c r="A30" s="27">
        <v>24</v>
      </c>
      <c r="B30" s="13" t="s">
        <v>1034</v>
      </c>
      <c r="C30" s="57"/>
      <c r="D30" s="57"/>
      <c r="E30" s="83"/>
      <c r="G30" s="27"/>
      <c r="H30" s="101" t="str">
        <f t="shared" si="0"/>
        <v>NECOMPLETAT</v>
      </c>
      <c r="I30" s="4" t="s">
        <v>3181</v>
      </c>
      <c r="J30" s="4" t="s">
        <v>3183</v>
      </c>
      <c r="K30" s="4" t="s">
        <v>3183</v>
      </c>
    </row>
    <row r="31" spans="1:11" s="4" customFormat="1" ht="87.75" customHeight="1" x14ac:dyDescent="0.25">
      <c r="A31" s="27">
        <v>25</v>
      </c>
      <c r="B31" s="13" t="s">
        <v>1035</v>
      </c>
      <c r="C31" s="57"/>
      <c r="D31" s="57"/>
      <c r="E31" s="83"/>
      <c r="G31" s="27"/>
      <c r="H31" s="101" t="str">
        <f t="shared" si="0"/>
        <v>NECOMPLETAT</v>
      </c>
      <c r="I31" s="4" t="s">
        <v>3183</v>
      </c>
      <c r="J31" s="4" t="s">
        <v>3183</v>
      </c>
      <c r="K31" s="4" t="s">
        <v>3180</v>
      </c>
    </row>
    <row r="32" spans="1:11" s="4" customFormat="1" ht="30" customHeight="1" x14ac:dyDescent="0.25">
      <c r="A32" s="27">
        <v>26</v>
      </c>
      <c r="B32" s="12" t="s">
        <v>81</v>
      </c>
      <c r="C32" s="57" t="s">
        <v>82</v>
      </c>
      <c r="D32" s="57" t="s">
        <v>83</v>
      </c>
      <c r="E32" s="83" t="s">
        <v>84</v>
      </c>
      <c r="G32" s="27"/>
      <c r="H32" s="101" t="str">
        <f t="shared" si="0"/>
        <v>NECOMPLETAT</v>
      </c>
      <c r="I32" s="4" t="s">
        <v>3183</v>
      </c>
      <c r="J32" s="4" t="s">
        <v>3182</v>
      </c>
      <c r="K32" s="4" t="s">
        <v>3183</v>
      </c>
    </row>
    <row r="33" spans="1:11" s="4" customFormat="1" ht="45" customHeight="1" x14ac:dyDescent="0.25">
      <c r="A33" s="27">
        <v>27</v>
      </c>
      <c r="B33" s="11" t="s">
        <v>85</v>
      </c>
      <c r="C33" s="56" t="s">
        <v>86</v>
      </c>
      <c r="D33" s="56" t="s">
        <v>87</v>
      </c>
      <c r="E33" s="82" t="s">
        <v>88</v>
      </c>
      <c r="G33" s="27"/>
      <c r="H33" s="101" t="str">
        <f t="shared" si="0"/>
        <v>NECOMPLETAT</v>
      </c>
      <c r="I33" s="4" t="s">
        <v>3183</v>
      </c>
      <c r="J33" s="4" t="s">
        <v>3182</v>
      </c>
      <c r="K33" s="4" t="s">
        <v>3183</v>
      </c>
    </row>
    <row r="34" spans="1:11" s="4" customFormat="1" ht="153" customHeight="1" x14ac:dyDescent="0.25">
      <c r="A34" s="27">
        <v>28</v>
      </c>
      <c r="B34" s="12" t="s">
        <v>89</v>
      </c>
      <c r="C34" s="57" t="s">
        <v>1039</v>
      </c>
      <c r="D34" s="57" t="s">
        <v>90</v>
      </c>
      <c r="E34" s="83" t="s">
        <v>91</v>
      </c>
      <c r="G34" s="27"/>
      <c r="H34" s="101" t="str">
        <f t="shared" si="0"/>
        <v>NECOMPLETAT</v>
      </c>
      <c r="I34" s="4" t="s">
        <v>3183</v>
      </c>
      <c r="J34" s="4" t="s">
        <v>3182</v>
      </c>
      <c r="K34" s="4" t="s">
        <v>3183</v>
      </c>
    </row>
    <row r="35" spans="1:11" s="4" customFormat="1" ht="30" customHeight="1" x14ac:dyDescent="0.25">
      <c r="A35" s="27">
        <v>29</v>
      </c>
      <c r="B35" s="10" t="s">
        <v>92</v>
      </c>
      <c r="C35" s="57" t="s">
        <v>93</v>
      </c>
      <c r="D35" s="57" t="s">
        <v>94</v>
      </c>
      <c r="E35" s="83" t="s">
        <v>1036</v>
      </c>
      <c r="G35" s="27"/>
      <c r="H35" s="101" t="str">
        <f t="shared" si="0"/>
        <v>NECOMPLETAT</v>
      </c>
      <c r="I35" s="4" t="s">
        <v>3183</v>
      </c>
      <c r="J35" s="4" t="s">
        <v>3183</v>
      </c>
      <c r="K35" s="4" t="s">
        <v>3180</v>
      </c>
    </row>
    <row r="36" spans="1:11" s="4" customFormat="1" ht="45" customHeight="1" x14ac:dyDescent="0.25">
      <c r="A36" s="27">
        <v>30</v>
      </c>
      <c r="B36" s="10" t="s">
        <v>95</v>
      </c>
      <c r="C36" s="57" t="s">
        <v>96</v>
      </c>
      <c r="D36" s="57" t="s">
        <v>97</v>
      </c>
      <c r="E36" s="83" t="s">
        <v>98</v>
      </c>
      <c r="G36" s="27"/>
      <c r="H36" s="101" t="str">
        <f t="shared" si="0"/>
        <v>NECOMPLETAT</v>
      </c>
      <c r="I36" s="4" t="s">
        <v>3183</v>
      </c>
      <c r="J36" s="4" t="s">
        <v>3182</v>
      </c>
      <c r="K36" s="4" t="s">
        <v>3183</v>
      </c>
    </row>
    <row r="37" spans="1:11" s="4" customFormat="1" ht="45" x14ac:dyDescent="0.25">
      <c r="A37" s="27">
        <v>31</v>
      </c>
      <c r="B37" s="10" t="s">
        <v>99</v>
      </c>
      <c r="C37" s="57" t="s">
        <v>100</v>
      </c>
      <c r="D37" s="57" t="s">
        <v>101</v>
      </c>
      <c r="E37" s="83" t="s">
        <v>865</v>
      </c>
      <c r="G37" s="27"/>
      <c r="H37" s="101" t="str">
        <f t="shared" si="0"/>
        <v>NECOMPLETAT</v>
      </c>
      <c r="I37" s="4" t="s">
        <v>3181</v>
      </c>
      <c r="J37" s="4" t="s">
        <v>3183</v>
      </c>
      <c r="K37" s="4" t="s">
        <v>3183</v>
      </c>
    </row>
    <row r="38" spans="1:11" s="4" customFormat="1" ht="30" customHeight="1" x14ac:dyDescent="0.25">
      <c r="A38" s="27">
        <v>32</v>
      </c>
      <c r="B38" s="10" t="s">
        <v>102</v>
      </c>
      <c r="C38" s="57" t="s">
        <v>103</v>
      </c>
      <c r="D38" s="57" t="s">
        <v>104</v>
      </c>
      <c r="E38" s="83" t="s">
        <v>899</v>
      </c>
      <c r="G38" s="27"/>
      <c r="H38" s="101" t="str">
        <f t="shared" si="0"/>
        <v>NECOMPLETAT</v>
      </c>
      <c r="I38" s="4" t="s">
        <v>3181</v>
      </c>
      <c r="J38" s="4" t="s">
        <v>3183</v>
      </c>
      <c r="K38" s="4" t="s">
        <v>3183</v>
      </c>
    </row>
    <row r="39" spans="1:11" s="4" customFormat="1" ht="30" customHeight="1" x14ac:dyDescent="0.25">
      <c r="A39" s="27">
        <v>33</v>
      </c>
      <c r="B39" s="10" t="s">
        <v>105</v>
      </c>
      <c r="C39" s="57" t="s">
        <v>46</v>
      </c>
      <c r="D39" s="57" t="s">
        <v>910</v>
      </c>
      <c r="E39" s="83" t="s">
        <v>48</v>
      </c>
      <c r="G39" s="27"/>
      <c r="H39" s="101" t="str">
        <f t="shared" si="0"/>
        <v>NECOMPLETAT</v>
      </c>
      <c r="I39" s="4" t="s">
        <v>3181</v>
      </c>
      <c r="J39" s="4" t="s">
        <v>3183</v>
      </c>
      <c r="K39" s="4" t="s">
        <v>3183</v>
      </c>
    </row>
    <row r="40" spans="1:11" s="4" customFormat="1" ht="75" customHeight="1" x14ac:dyDescent="0.25">
      <c r="A40" s="27">
        <v>34</v>
      </c>
      <c r="B40" s="10" t="s">
        <v>106</v>
      </c>
      <c r="C40" s="57" t="s">
        <v>107</v>
      </c>
      <c r="D40" s="57" t="s">
        <v>108</v>
      </c>
      <c r="E40" s="82" t="s">
        <v>109</v>
      </c>
      <c r="G40" s="27"/>
      <c r="H40" s="101" t="str">
        <f t="shared" si="0"/>
        <v>NECOMPLETAT</v>
      </c>
      <c r="I40" s="4" t="s">
        <v>3183</v>
      </c>
      <c r="J40" s="4" t="s">
        <v>3183</v>
      </c>
      <c r="K40" s="4" t="s">
        <v>3180</v>
      </c>
    </row>
    <row r="41" spans="1:11" s="4" customFormat="1" ht="30" customHeight="1" x14ac:dyDescent="0.25">
      <c r="A41" s="27">
        <v>35</v>
      </c>
      <c r="B41" s="10" t="s">
        <v>911</v>
      </c>
      <c r="C41" s="57" t="s">
        <v>912</v>
      </c>
      <c r="D41" s="57" t="s">
        <v>913</v>
      </c>
      <c r="E41" s="83" t="s">
        <v>110</v>
      </c>
      <c r="G41" s="27"/>
      <c r="H41" s="101" t="str">
        <f t="shared" si="0"/>
        <v>NECOMPLETAT</v>
      </c>
      <c r="I41" s="4" t="s">
        <v>3181</v>
      </c>
      <c r="J41" s="4" t="s">
        <v>3183</v>
      </c>
      <c r="K41" s="4" t="s">
        <v>3183</v>
      </c>
    </row>
    <row r="42" spans="1:11" s="4" customFormat="1" ht="198.75" customHeight="1" x14ac:dyDescent="0.25">
      <c r="A42" s="27">
        <v>36</v>
      </c>
      <c r="B42" s="12" t="s">
        <v>111</v>
      </c>
      <c r="C42" s="57" t="s">
        <v>112</v>
      </c>
      <c r="D42" s="57" t="s">
        <v>113</v>
      </c>
      <c r="E42" s="83" t="s">
        <v>114</v>
      </c>
      <c r="G42" s="27"/>
      <c r="H42" s="101" t="str">
        <f t="shared" si="0"/>
        <v>NECOMPLETAT</v>
      </c>
      <c r="I42" s="4" t="s">
        <v>3183</v>
      </c>
      <c r="J42" s="4" t="s">
        <v>3182</v>
      </c>
      <c r="K42" s="4" t="s">
        <v>3183</v>
      </c>
    </row>
    <row r="43" spans="1:11" s="4" customFormat="1" ht="184.5" customHeight="1" x14ac:dyDescent="0.25">
      <c r="A43" s="27">
        <v>37</v>
      </c>
      <c r="B43" s="12" t="s">
        <v>115</v>
      </c>
      <c r="C43" s="57" t="s">
        <v>112</v>
      </c>
      <c r="D43" s="57" t="s">
        <v>113</v>
      </c>
      <c r="E43" s="83" t="s">
        <v>114</v>
      </c>
      <c r="G43" s="27"/>
      <c r="H43" s="101" t="str">
        <f t="shared" si="0"/>
        <v>NECOMPLETAT</v>
      </c>
      <c r="I43" s="4" t="s">
        <v>3181</v>
      </c>
      <c r="J43" s="4" t="s">
        <v>3183</v>
      </c>
      <c r="K43" s="4" t="s">
        <v>3183</v>
      </c>
    </row>
    <row r="44" spans="1:11" s="4" customFormat="1" ht="30" customHeight="1" x14ac:dyDescent="0.25">
      <c r="A44" s="27">
        <v>38</v>
      </c>
      <c r="B44" s="10" t="s">
        <v>116</v>
      </c>
      <c r="C44" s="57" t="s">
        <v>117</v>
      </c>
      <c r="D44" s="57" t="s">
        <v>118</v>
      </c>
      <c r="E44" s="83" t="s">
        <v>119</v>
      </c>
      <c r="G44" s="27"/>
      <c r="H44" s="101" t="str">
        <f t="shared" si="0"/>
        <v>NECOMPLETAT</v>
      </c>
      <c r="I44" s="4" t="s">
        <v>3181</v>
      </c>
      <c r="J44" s="4" t="s">
        <v>3183</v>
      </c>
      <c r="K44" s="4" t="s">
        <v>3183</v>
      </c>
    </row>
    <row r="45" spans="1:11" s="4" customFormat="1" ht="45" customHeight="1" x14ac:dyDescent="0.25">
      <c r="A45" s="27">
        <v>39</v>
      </c>
      <c r="B45" s="10" t="s">
        <v>120</v>
      </c>
      <c r="C45" s="57" t="s">
        <v>121</v>
      </c>
      <c r="D45" s="57" t="s">
        <v>122</v>
      </c>
      <c r="E45" s="83" t="s">
        <v>123</v>
      </c>
      <c r="G45" s="27"/>
      <c r="H45" s="101" t="str">
        <f t="shared" si="0"/>
        <v>NECOMPLETAT</v>
      </c>
      <c r="I45" s="4" t="s">
        <v>3183</v>
      </c>
      <c r="J45" s="4" t="s">
        <v>3182</v>
      </c>
      <c r="K45" s="4" t="s">
        <v>3183</v>
      </c>
    </row>
    <row r="46" spans="1:11" s="4" customFormat="1" ht="45" customHeight="1" x14ac:dyDescent="0.25">
      <c r="A46" s="27">
        <v>40</v>
      </c>
      <c r="B46" s="10" t="s">
        <v>124</v>
      </c>
      <c r="C46" s="57" t="s">
        <v>125</v>
      </c>
      <c r="D46" s="57" t="s">
        <v>126</v>
      </c>
      <c r="E46" s="83" t="s">
        <v>127</v>
      </c>
      <c r="G46" s="27"/>
      <c r="H46" s="101" t="str">
        <f t="shared" si="0"/>
        <v>NECOMPLETAT</v>
      </c>
      <c r="I46" s="4" t="s">
        <v>3181</v>
      </c>
      <c r="J46" s="4" t="s">
        <v>3183</v>
      </c>
      <c r="K46" s="4" t="s">
        <v>3183</v>
      </c>
    </row>
    <row r="47" spans="1:11" s="4" customFormat="1" ht="45" customHeight="1" x14ac:dyDescent="0.25">
      <c r="A47" s="27">
        <v>41</v>
      </c>
      <c r="B47" s="10" t="s">
        <v>128</v>
      </c>
      <c r="C47" s="57" t="s">
        <v>129</v>
      </c>
      <c r="D47" s="57" t="s">
        <v>130</v>
      </c>
      <c r="E47" s="83" t="s">
        <v>131</v>
      </c>
      <c r="G47" s="27"/>
      <c r="H47" s="101" t="str">
        <f t="shared" si="0"/>
        <v>NECOMPLETAT</v>
      </c>
      <c r="I47" s="4" t="s">
        <v>3183</v>
      </c>
      <c r="J47" s="4" t="s">
        <v>3183</v>
      </c>
      <c r="K47" s="4" t="s">
        <v>3180</v>
      </c>
    </row>
    <row r="48" spans="1:11" s="4" customFormat="1" ht="60" customHeight="1" x14ac:dyDescent="0.25">
      <c r="A48" s="27">
        <v>42</v>
      </c>
      <c r="B48" s="10" t="s">
        <v>900</v>
      </c>
      <c r="C48" s="57" t="s">
        <v>132</v>
      </c>
      <c r="D48" s="57" t="s">
        <v>133</v>
      </c>
      <c r="E48" s="83" t="s">
        <v>134</v>
      </c>
      <c r="G48" s="27"/>
      <c r="H48" s="101" t="str">
        <f t="shared" si="0"/>
        <v>NECOMPLETAT</v>
      </c>
      <c r="I48" s="4" t="s">
        <v>3183</v>
      </c>
      <c r="J48" s="4" t="s">
        <v>3182</v>
      </c>
      <c r="K48" s="4" t="s">
        <v>3183</v>
      </c>
    </row>
    <row r="49" spans="1:11" s="4" customFormat="1" ht="30" customHeight="1" x14ac:dyDescent="0.25">
      <c r="A49" s="27">
        <v>43</v>
      </c>
      <c r="B49" s="10" t="s">
        <v>914</v>
      </c>
      <c r="C49" s="57" t="s">
        <v>135</v>
      </c>
      <c r="D49" s="57" t="s">
        <v>915</v>
      </c>
      <c r="E49" s="83" t="s">
        <v>136</v>
      </c>
      <c r="G49" s="27"/>
      <c r="H49" s="101" t="str">
        <f t="shared" si="0"/>
        <v>NECOMPLETAT</v>
      </c>
      <c r="I49" s="4" t="s">
        <v>3183</v>
      </c>
      <c r="J49" s="4" t="s">
        <v>3183</v>
      </c>
      <c r="K49" s="4" t="s">
        <v>3180</v>
      </c>
    </row>
    <row r="50" spans="1:11" s="4" customFormat="1" ht="30" customHeight="1" x14ac:dyDescent="0.25">
      <c r="A50" s="27">
        <v>44</v>
      </c>
      <c r="B50" s="10" t="s">
        <v>853</v>
      </c>
      <c r="C50" s="57" t="s">
        <v>137</v>
      </c>
      <c r="D50" s="57" t="s">
        <v>138</v>
      </c>
      <c r="E50" s="83" t="s">
        <v>139</v>
      </c>
      <c r="G50" s="27"/>
      <c r="H50" s="101" t="str">
        <f t="shared" si="0"/>
        <v>NECOMPLETAT</v>
      </c>
      <c r="I50" s="4" t="s">
        <v>3183</v>
      </c>
      <c r="J50" s="4" t="s">
        <v>3183</v>
      </c>
      <c r="K50" s="4" t="s">
        <v>3180</v>
      </c>
    </row>
    <row r="51" spans="1:11" s="4" customFormat="1" ht="45" customHeight="1" x14ac:dyDescent="0.25">
      <c r="A51" s="27">
        <v>45</v>
      </c>
      <c r="B51" s="10" t="s">
        <v>140</v>
      </c>
      <c r="C51" s="57" t="s">
        <v>141</v>
      </c>
      <c r="D51" s="57" t="s">
        <v>142</v>
      </c>
      <c r="E51" s="83" t="s">
        <v>143</v>
      </c>
      <c r="G51" s="27"/>
      <c r="H51" s="101" t="str">
        <f t="shared" si="0"/>
        <v>NECOMPLETAT</v>
      </c>
      <c r="I51" s="4" t="s">
        <v>3183</v>
      </c>
      <c r="J51" s="4" t="s">
        <v>3182</v>
      </c>
      <c r="K51" s="4" t="s">
        <v>3183</v>
      </c>
    </row>
    <row r="52" spans="1:11" s="4" customFormat="1" ht="45" customHeight="1" x14ac:dyDescent="0.25">
      <c r="A52" s="27">
        <v>46</v>
      </c>
      <c r="B52" s="10" t="s">
        <v>144</v>
      </c>
      <c r="C52" s="57" t="s">
        <v>145</v>
      </c>
      <c r="D52" s="57" t="s">
        <v>146</v>
      </c>
      <c r="E52" s="83" t="s">
        <v>147</v>
      </c>
      <c r="G52" s="27"/>
      <c r="H52" s="101" t="str">
        <f t="shared" si="0"/>
        <v>NECOMPLETAT</v>
      </c>
      <c r="I52" s="4" t="s">
        <v>3181</v>
      </c>
      <c r="J52" s="4" t="s">
        <v>3183</v>
      </c>
      <c r="K52" s="4" t="s">
        <v>3183</v>
      </c>
    </row>
    <row r="53" spans="1:11" s="4" customFormat="1" ht="30" customHeight="1" x14ac:dyDescent="0.25">
      <c r="A53" s="27">
        <v>47</v>
      </c>
      <c r="B53" s="10" t="s">
        <v>148</v>
      </c>
      <c r="C53" s="57" t="s">
        <v>149</v>
      </c>
      <c r="D53" s="57" t="s">
        <v>150</v>
      </c>
      <c r="E53" s="83" t="s">
        <v>151</v>
      </c>
      <c r="G53" s="27"/>
      <c r="H53" s="101" t="str">
        <f t="shared" si="0"/>
        <v>NECOMPLETAT</v>
      </c>
      <c r="I53" s="4" t="s">
        <v>3181</v>
      </c>
      <c r="J53" s="4" t="s">
        <v>3183</v>
      </c>
      <c r="K53" s="4" t="s">
        <v>3183</v>
      </c>
    </row>
    <row r="54" spans="1:11" s="4" customFormat="1" ht="45" customHeight="1" x14ac:dyDescent="0.25">
      <c r="A54" s="27">
        <v>48</v>
      </c>
      <c r="B54" s="10" t="s">
        <v>152</v>
      </c>
      <c r="C54" s="57" t="s">
        <v>150</v>
      </c>
      <c r="D54" s="57" t="s">
        <v>151</v>
      </c>
      <c r="E54" s="83" t="s">
        <v>153</v>
      </c>
      <c r="G54" s="27"/>
      <c r="H54" s="101" t="str">
        <f t="shared" si="0"/>
        <v>NECOMPLETAT</v>
      </c>
      <c r="I54" s="4" t="s">
        <v>3181</v>
      </c>
      <c r="J54" s="4" t="s">
        <v>3183</v>
      </c>
      <c r="K54" s="4" t="s">
        <v>3183</v>
      </c>
    </row>
    <row r="55" spans="1:11" s="4" customFormat="1" ht="45" customHeight="1" x14ac:dyDescent="0.25">
      <c r="A55" s="27">
        <v>49</v>
      </c>
      <c r="B55" s="10" t="s">
        <v>154</v>
      </c>
      <c r="C55" s="57" t="s">
        <v>916</v>
      </c>
      <c r="D55" s="57" t="s">
        <v>155</v>
      </c>
      <c r="E55" s="83" t="s">
        <v>156</v>
      </c>
      <c r="G55" s="27"/>
      <c r="H55" s="101" t="str">
        <f t="shared" si="0"/>
        <v>NECOMPLETAT</v>
      </c>
      <c r="I55" s="4" t="s">
        <v>3183</v>
      </c>
      <c r="J55" s="4" t="s">
        <v>3182</v>
      </c>
      <c r="K55" s="4" t="s">
        <v>3183</v>
      </c>
    </row>
    <row r="56" spans="1:11" s="4" customFormat="1" ht="60" customHeight="1" x14ac:dyDescent="0.25">
      <c r="A56" s="27">
        <v>50</v>
      </c>
      <c r="B56" s="10" t="s">
        <v>157</v>
      </c>
      <c r="C56" s="59" t="s">
        <v>158</v>
      </c>
      <c r="D56" s="57" t="s">
        <v>159</v>
      </c>
      <c r="E56" s="83" t="s">
        <v>1029</v>
      </c>
      <c r="G56" s="27"/>
      <c r="H56" s="101" t="str">
        <f t="shared" si="0"/>
        <v>NECOMPLETAT</v>
      </c>
      <c r="I56" s="4" t="s">
        <v>3183</v>
      </c>
      <c r="J56" s="4" t="s">
        <v>3183</v>
      </c>
      <c r="K56" s="4" t="s">
        <v>3180</v>
      </c>
    </row>
    <row r="57" spans="1:11" s="4" customFormat="1" ht="75" customHeight="1" x14ac:dyDescent="0.25">
      <c r="A57" s="27">
        <v>51</v>
      </c>
      <c r="B57" s="10" t="s">
        <v>999</v>
      </c>
      <c r="C57" s="57" t="s">
        <v>160</v>
      </c>
      <c r="D57" s="57" t="s">
        <v>161</v>
      </c>
      <c r="E57" s="83" t="s">
        <v>162</v>
      </c>
      <c r="G57" s="27"/>
      <c r="H57" s="101" t="str">
        <f t="shared" si="0"/>
        <v>NECOMPLETAT</v>
      </c>
      <c r="I57" s="4" t="s">
        <v>3183</v>
      </c>
      <c r="J57" s="4" t="s">
        <v>3182</v>
      </c>
      <c r="K57" s="4" t="s">
        <v>3183</v>
      </c>
    </row>
    <row r="58" spans="1:11" s="4" customFormat="1" ht="45" customHeight="1" x14ac:dyDescent="0.25">
      <c r="A58" s="27">
        <v>52</v>
      </c>
      <c r="B58" s="10" t="s">
        <v>163</v>
      </c>
      <c r="C58" s="57" t="s">
        <v>164</v>
      </c>
      <c r="D58" s="57" t="s">
        <v>165</v>
      </c>
      <c r="E58" s="83" t="s">
        <v>166</v>
      </c>
      <c r="G58" s="27"/>
      <c r="H58" s="101" t="str">
        <f t="shared" si="0"/>
        <v>NECOMPLETAT</v>
      </c>
      <c r="I58" s="4" t="s">
        <v>3181</v>
      </c>
      <c r="J58" s="4" t="s">
        <v>3183</v>
      </c>
      <c r="K58" s="4" t="s">
        <v>3183</v>
      </c>
    </row>
    <row r="59" spans="1:11" s="4" customFormat="1" ht="30" customHeight="1" x14ac:dyDescent="0.25">
      <c r="A59" s="27">
        <v>53</v>
      </c>
      <c r="B59" s="10" t="s">
        <v>167</v>
      </c>
      <c r="C59" s="57" t="s">
        <v>168</v>
      </c>
      <c r="D59" s="56" t="s">
        <v>169</v>
      </c>
      <c r="E59" s="82" t="s">
        <v>170</v>
      </c>
      <c r="G59" s="27"/>
      <c r="H59" s="101" t="str">
        <f t="shared" si="0"/>
        <v>NECOMPLETAT</v>
      </c>
      <c r="I59" s="4" t="s">
        <v>3183</v>
      </c>
      <c r="J59" s="4" t="s">
        <v>3183</v>
      </c>
      <c r="K59" s="4" t="s">
        <v>3180</v>
      </c>
    </row>
    <row r="60" spans="1:11" s="4" customFormat="1" ht="30" customHeight="1" x14ac:dyDescent="0.25">
      <c r="A60" s="27">
        <v>54</v>
      </c>
      <c r="B60" s="10" t="s">
        <v>171</v>
      </c>
      <c r="C60" s="56" t="s">
        <v>172</v>
      </c>
      <c r="D60" s="57" t="s">
        <v>173</v>
      </c>
      <c r="E60" s="83" t="s">
        <v>174</v>
      </c>
      <c r="G60" s="27"/>
      <c r="H60" s="101" t="str">
        <f t="shared" si="0"/>
        <v>NECOMPLETAT</v>
      </c>
      <c r="I60" s="4" t="s">
        <v>3181</v>
      </c>
      <c r="J60" s="4" t="s">
        <v>3183</v>
      </c>
      <c r="K60" s="4" t="s">
        <v>3183</v>
      </c>
    </row>
    <row r="61" spans="1:11" s="4" customFormat="1" ht="45" customHeight="1" x14ac:dyDescent="0.25">
      <c r="A61" s="27">
        <v>55</v>
      </c>
      <c r="B61" s="10" t="s">
        <v>175</v>
      </c>
      <c r="C61" s="57" t="s">
        <v>176</v>
      </c>
      <c r="D61" s="57" t="s">
        <v>177</v>
      </c>
      <c r="E61" s="83" t="s">
        <v>178</v>
      </c>
      <c r="G61" s="27"/>
      <c r="H61" s="101" t="str">
        <f t="shared" si="0"/>
        <v>NECOMPLETAT</v>
      </c>
      <c r="I61" s="4" t="s">
        <v>3183</v>
      </c>
      <c r="J61" s="4" t="s">
        <v>3182</v>
      </c>
      <c r="K61" s="4" t="s">
        <v>3183</v>
      </c>
    </row>
    <row r="62" spans="1:11" s="4" customFormat="1" ht="45" customHeight="1" x14ac:dyDescent="0.25">
      <c r="A62" s="27">
        <v>56</v>
      </c>
      <c r="B62" s="10" t="s">
        <v>179</v>
      </c>
      <c r="C62" s="57" t="s">
        <v>180</v>
      </c>
      <c r="D62" s="57" t="s">
        <v>181</v>
      </c>
      <c r="E62" s="83" t="s">
        <v>182</v>
      </c>
      <c r="G62" s="27"/>
      <c r="H62" s="101" t="str">
        <f t="shared" si="0"/>
        <v>NECOMPLETAT</v>
      </c>
      <c r="I62" s="4" t="s">
        <v>3181</v>
      </c>
      <c r="J62" s="4" t="s">
        <v>3183</v>
      </c>
      <c r="K62" s="4" t="s">
        <v>3183</v>
      </c>
    </row>
    <row r="63" spans="1:11" s="4" customFormat="1" ht="30" x14ac:dyDescent="0.25">
      <c r="A63" s="27">
        <v>57</v>
      </c>
      <c r="B63" s="10" t="s">
        <v>183</v>
      </c>
      <c r="C63" s="57" t="s">
        <v>184</v>
      </c>
      <c r="D63" s="57" t="s">
        <v>185</v>
      </c>
      <c r="E63" s="83" t="s">
        <v>186</v>
      </c>
      <c r="G63" s="27"/>
      <c r="H63" s="101" t="str">
        <f t="shared" si="0"/>
        <v>NECOMPLETAT</v>
      </c>
      <c r="I63" s="4" t="s">
        <v>3181</v>
      </c>
      <c r="J63" s="4" t="s">
        <v>3183</v>
      </c>
      <c r="K63" s="4" t="s">
        <v>3183</v>
      </c>
    </row>
    <row r="64" spans="1:11" s="4" customFormat="1" ht="60" customHeight="1" x14ac:dyDescent="0.25">
      <c r="A64" s="27">
        <v>58</v>
      </c>
      <c r="B64" s="10" t="s">
        <v>187</v>
      </c>
      <c r="C64" s="57" t="s">
        <v>917</v>
      </c>
      <c r="D64" s="57" t="s">
        <v>895</v>
      </c>
      <c r="E64" s="83" t="s">
        <v>896</v>
      </c>
      <c r="G64" s="27"/>
      <c r="H64" s="101" t="str">
        <f t="shared" si="0"/>
        <v>NECOMPLETAT</v>
      </c>
      <c r="I64" s="4" t="s">
        <v>3183</v>
      </c>
      <c r="J64" s="4" t="s">
        <v>3183</v>
      </c>
      <c r="K64" s="4" t="s">
        <v>3180</v>
      </c>
    </row>
    <row r="65" spans="1:11" s="4" customFormat="1" ht="45" customHeight="1" x14ac:dyDescent="0.25">
      <c r="A65" s="27">
        <v>59</v>
      </c>
      <c r="B65" s="102" t="s">
        <v>188</v>
      </c>
      <c r="C65" s="56" t="s">
        <v>189</v>
      </c>
      <c r="D65" s="56" t="s">
        <v>190</v>
      </c>
      <c r="E65" s="83" t="s">
        <v>191</v>
      </c>
      <c r="G65" s="27"/>
      <c r="H65" s="101" t="str">
        <f t="shared" si="0"/>
        <v>NECOMPLETAT</v>
      </c>
      <c r="I65" s="4" t="s">
        <v>3183</v>
      </c>
      <c r="J65" s="4" t="s">
        <v>3183</v>
      </c>
      <c r="K65" s="4" t="s">
        <v>3180</v>
      </c>
    </row>
    <row r="66" spans="1:11" s="4" customFormat="1" ht="30" customHeight="1" x14ac:dyDescent="0.25">
      <c r="A66" s="27">
        <v>60</v>
      </c>
      <c r="B66" s="11" t="s">
        <v>1000</v>
      </c>
      <c r="C66" s="57" t="s">
        <v>192</v>
      </c>
      <c r="D66" s="57" t="s">
        <v>193</v>
      </c>
      <c r="E66" s="83" t="s">
        <v>194</v>
      </c>
      <c r="G66" s="27"/>
      <c r="H66" s="101" t="str">
        <f t="shared" si="0"/>
        <v>NECOMPLETAT</v>
      </c>
      <c r="I66" s="4" t="s">
        <v>3181</v>
      </c>
      <c r="J66" s="4" t="s">
        <v>3183</v>
      </c>
      <c r="K66" s="4" t="s">
        <v>3183</v>
      </c>
    </row>
    <row r="67" spans="1:11" s="4" customFormat="1" ht="45" customHeight="1" x14ac:dyDescent="0.25">
      <c r="A67" s="27">
        <v>61</v>
      </c>
      <c r="B67" s="11" t="s">
        <v>1001</v>
      </c>
      <c r="C67" s="60" t="s">
        <v>1030</v>
      </c>
      <c r="D67" s="57" t="s">
        <v>918</v>
      </c>
      <c r="E67" s="83" t="s">
        <v>195</v>
      </c>
      <c r="G67" s="27"/>
      <c r="H67" s="101" t="str">
        <f t="shared" si="0"/>
        <v>NECOMPLETAT</v>
      </c>
      <c r="I67" s="4" t="s">
        <v>3181</v>
      </c>
      <c r="J67" s="4" t="s">
        <v>3183</v>
      </c>
      <c r="K67" s="4" t="s">
        <v>3183</v>
      </c>
    </row>
    <row r="68" spans="1:11" s="4" customFormat="1" ht="45" customHeight="1" x14ac:dyDescent="0.25">
      <c r="A68" s="27">
        <v>62</v>
      </c>
      <c r="B68" s="11" t="s">
        <v>196</v>
      </c>
      <c r="C68" s="57" t="s">
        <v>197</v>
      </c>
      <c r="D68" s="56" t="s">
        <v>198</v>
      </c>
      <c r="E68" s="82" t="s">
        <v>199</v>
      </c>
      <c r="G68" s="27"/>
      <c r="H68" s="101" t="str">
        <f t="shared" si="0"/>
        <v>NECOMPLETAT</v>
      </c>
      <c r="I68" s="4" t="s">
        <v>3181</v>
      </c>
      <c r="J68" s="4" t="s">
        <v>3183</v>
      </c>
      <c r="K68" s="4" t="s">
        <v>3183</v>
      </c>
    </row>
    <row r="69" spans="1:11" s="4" customFormat="1" ht="45" customHeight="1" x14ac:dyDescent="0.25">
      <c r="A69" s="27">
        <v>63</v>
      </c>
      <c r="B69" s="10" t="s">
        <v>1002</v>
      </c>
      <c r="C69" s="57" t="s">
        <v>200</v>
      </c>
      <c r="D69" s="57" t="s">
        <v>1031</v>
      </c>
      <c r="E69" s="83" t="s">
        <v>201</v>
      </c>
      <c r="G69" s="27"/>
      <c r="H69" s="101" t="str">
        <f t="shared" si="0"/>
        <v>NECOMPLETAT</v>
      </c>
      <c r="I69" s="4" t="s">
        <v>3183</v>
      </c>
      <c r="J69" s="4" t="s">
        <v>3182</v>
      </c>
      <c r="K69" s="4" t="s">
        <v>3183</v>
      </c>
    </row>
    <row r="70" spans="1:11" s="4" customFormat="1" ht="45" customHeight="1" x14ac:dyDescent="0.25">
      <c r="A70" s="27">
        <v>64</v>
      </c>
      <c r="B70" s="10" t="s">
        <v>202</v>
      </c>
      <c r="C70" s="57" t="s">
        <v>203</v>
      </c>
      <c r="D70" s="57" t="s">
        <v>204</v>
      </c>
      <c r="E70" s="83" t="s">
        <v>205</v>
      </c>
      <c r="G70" s="27"/>
      <c r="H70" s="101" t="str">
        <f t="shared" si="0"/>
        <v>NECOMPLETAT</v>
      </c>
      <c r="I70" s="4" t="s">
        <v>3181</v>
      </c>
      <c r="J70" s="4" t="s">
        <v>3183</v>
      </c>
      <c r="K70" s="4" t="s">
        <v>3183</v>
      </c>
    </row>
    <row r="71" spans="1:11" s="4" customFormat="1" ht="30" customHeight="1" x14ac:dyDescent="0.25">
      <c r="A71" s="27">
        <v>65</v>
      </c>
      <c r="B71" s="10" t="s">
        <v>206</v>
      </c>
      <c r="C71" s="57" t="s">
        <v>207</v>
      </c>
      <c r="D71" s="57" t="s">
        <v>208</v>
      </c>
      <c r="E71" s="83" t="s">
        <v>209</v>
      </c>
      <c r="G71" s="27"/>
      <c r="H71" s="101" t="str">
        <f t="shared" si="0"/>
        <v>NECOMPLETAT</v>
      </c>
      <c r="I71" s="4" t="s">
        <v>3183</v>
      </c>
      <c r="J71" s="4" t="s">
        <v>3183</v>
      </c>
      <c r="K71" s="4" t="s">
        <v>3180</v>
      </c>
    </row>
    <row r="72" spans="1:11" s="4" customFormat="1" ht="45" x14ac:dyDescent="0.25">
      <c r="A72" s="27">
        <v>66</v>
      </c>
      <c r="B72" s="10" t="s">
        <v>1003</v>
      </c>
      <c r="C72" s="57" t="s">
        <v>210</v>
      </c>
      <c r="D72" s="57" t="s">
        <v>211</v>
      </c>
      <c r="E72" s="83" t="s">
        <v>212</v>
      </c>
      <c r="G72" s="27"/>
      <c r="H72" s="101" t="str">
        <f t="shared" ref="H72:H135" si="1">IF(G72=0,"NECOMPLETAT",IF(OR(G72=I72,G72=J72,G72=K72),"CORECT","GRESIT"))</f>
        <v>NECOMPLETAT</v>
      </c>
      <c r="I72" s="4" t="s">
        <v>3181</v>
      </c>
      <c r="J72" s="4" t="s">
        <v>3183</v>
      </c>
      <c r="K72" s="4" t="s">
        <v>3183</v>
      </c>
    </row>
    <row r="73" spans="1:11" s="4" customFormat="1" ht="60" customHeight="1" x14ac:dyDescent="0.25">
      <c r="A73" s="27">
        <v>67</v>
      </c>
      <c r="B73" s="10" t="s">
        <v>1004</v>
      </c>
      <c r="C73" s="57" t="s">
        <v>213</v>
      </c>
      <c r="D73" s="57" t="s">
        <v>214</v>
      </c>
      <c r="E73" s="83" t="s">
        <v>215</v>
      </c>
      <c r="G73" s="27"/>
      <c r="H73" s="101" t="str">
        <f t="shared" si="1"/>
        <v>NECOMPLETAT</v>
      </c>
      <c r="I73" s="4" t="s">
        <v>3183</v>
      </c>
      <c r="J73" s="4" t="s">
        <v>3182</v>
      </c>
      <c r="K73" s="4" t="s">
        <v>3183</v>
      </c>
    </row>
    <row r="74" spans="1:11" s="4" customFormat="1" ht="60" customHeight="1" x14ac:dyDescent="0.25">
      <c r="A74" s="27">
        <v>68</v>
      </c>
      <c r="B74" s="10" t="s">
        <v>216</v>
      </c>
      <c r="C74" s="57" t="s">
        <v>217</v>
      </c>
      <c r="D74" s="57" t="s">
        <v>218</v>
      </c>
      <c r="E74" s="83" t="s">
        <v>219</v>
      </c>
      <c r="G74" s="27"/>
      <c r="H74" s="101" t="str">
        <f t="shared" si="1"/>
        <v>NECOMPLETAT</v>
      </c>
      <c r="I74" s="4" t="s">
        <v>3181</v>
      </c>
      <c r="J74" s="4" t="s">
        <v>3183</v>
      </c>
      <c r="K74" s="4" t="s">
        <v>3183</v>
      </c>
    </row>
    <row r="75" spans="1:11" s="4" customFormat="1" ht="30" customHeight="1" x14ac:dyDescent="0.25">
      <c r="A75" s="27">
        <v>69</v>
      </c>
      <c r="B75" s="10" t="s">
        <v>220</v>
      </c>
      <c r="C75" s="56" t="s">
        <v>221</v>
      </c>
      <c r="D75" s="56" t="s">
        <v>222</v>
      </c>
      <c r="E75" s="82" t="s">
        <v>223</v>
      </c>
      <c r="G75" s="27"/>
      <c r="H75" s="101" t="str">
        <f t="shared" si="1"/>
        <v>NECOMPLETAT</v>
      </c>
      <c r="I75" s="4" t="s">
        <v>3181</v>
      </c>
      <c r="J75" s="4" t="s">
        <v>3183</v>
      </c>
      <c r="K75" s="4" t="s">
        <v>3183</v>
      </c>
    </row>
    <row r="76" spans="1:11" s="4" customFormat="1" ht="30" customHeight="1" x14ac:dyDescent="0.25">
      <c r="A76" s="27">
        <v>70</v>
      </c>
      <c r="B76" s="10" t="s">
        <v>224</v>
      </c>
      <c r="C76" s="57" t="s">
        <v>225</v>
      </c>
      <c r="D76" s="56" t="s">
        <v>226</v>
      </c>
      <c r="E76" s="82" t="s">
        <v>227</v>
      </c>
      <c r="G76" s="27"/>
      <c r="H76" s="101" t="str">
        <f t="shared" si="1"/>
        <v>NECOMPLETAT</v>
      </c>
      <c r="I76" s="4" t="s">
        <v>3183</v>
      </c>
      <c r="J76" s="4" t="s">
        <v>3182</v>
      </c>
      <c r="K76" s="4" t="s">
        <v>3183</v>
      </c>
    </row>
    <row r="77" spans="1:11" s="4" customFormat="1" ht="30" customHeight="1" x14ac:dyDescent="0.25">
      <c r="A77" s="27">
        <v>71</v>
      </c>
      <c r="B77" s="10" t="s">
        <v>228</v>
      </c>
      <c r="C77" s="56" t="s">
        <v>226</v>
      </c>
      <c r="D77" s="57" t="s">
        <v>225</v>
      </c>
      <c r="E77" s="82" t="s">
        <v>855</v>
      </c>
      <c r="G77" s="27"/>
      <c r="H77" s="101" t="str">
        <f t="shared" si="1"/>
        <v>NECOMPLETAT</v>
      </c>
      <c r="I77" s="4" t="s">
        <v>3183</v>
      </c>
      <c r="J77" s="4" t="s">
        <v>3182</v>
      </c>
      <c r="K77" s="4" t="s">
        <v>3183</v>
      </c>
    </row>
    <row r="78" spans="1:11" s="4" customFormat="1" ht="75" x14ac:dyDescent="0.25">
      <c r="A78" s="27">
        <v>72</v>
      </c>
      <c r="B78" s="10" t="s">
        <v>1005</v>
      </c>
      <c r="C78" s="57" t="s">
        <v>229</v>
      </c>
      <c r="D78" s="57" t="s">
        <v>230</v>
      </c>
      <c r="E78" s="83">
        <v>1</v>
      </c>
      <c r="G78" s="27"/>
      <c r="H78" s="101" t="str">
        <f t="shared" si="1"/>
        <v>NECOMPLETAT</v>
      </c>
      <c r="I78" s="4" t="s">
        <v>3183</v>
      </c>
      <c r="J78" s="4" t="s">
        <v>3182</v>
      </c>
      <c r="K78" s="4" t="s">
        <v>3183</v>
      </c>
    </row>
    <row r="79" spans="1:11" s="4" customFormat="1" ht="45" customHeight="1" x14ac:dyDescent="0.25">
      <c r="A79" s="27">
        <v>73</v>
      </c>
      <c r="B79" s="10" t="s">
        <v>1006</v>
      </c>
      <c r="C79" s="57" t="s">
        <v>231</v>
      </c>
      <c r="D79" s="57" t="s">
        <v>232</v>
      </c>
      <c r="E79" s="83" t="s">
        <v>233</v>
      </c>
      <c r="G79" s="27"/>
      <c r="H79" s="101" t="str">
        <f t="shared" si="1"/>
        <v>NECOMPLETAT</v>
      </c>
      <c r="I79" s="4" t="s">
        <v>3183</v>
      </c>
      <c r="J79" s="4" t="s">
        <v>3182</v>
      </c>
      <c r="K79" s="4" t="s">
        <v>3183</v>
      </c>
    </row>
    <row r="80" spans="1:11" s="4" customFormat="1" ht="30" customHeight="1" x14ac:dyDescent="0.25">
      <c r="A80" s="27">
        <v>74</v>
      </c>
      <c r="B80" s="10" t="s">
        <v>234</v>
      </c>
      <c r="C80" s="56" t="s">
        <v>235</v>
      </c>
      <c r="D80" s="57" t="s">
        <v>236</v>
      </c>
      <c r="E80" s="83" t="s">
        <v>237</v>
      </c>
      <c r="G80" s="27"/>
      <c r="H80" s="101" t="str">
        <f t="shared" si="1"/>
        <v>NECOMPLETAT</v>
      </c>
      <c r="I80" s="4" t="s">
        <v>3181</v>
      </c>
      <c r="J80" s="4" t="s">
        <v>3183</v>
      </c>
      <c r="K80" s="4" t="s">
        <v>3183</v>
      </c>
    </row>
    <row r="81" spans="1:11" s="4" customFormat="1" ht="45" customHeight="1" x14ac:dyDescent="0.25">
      <c r="A81" s="27">
        <v>75</v>
      </c>
      <c r="B81" s="11" t="s">
        <v>238</v>
      </c>
      <c r="C81" s="56" t="s">
        <v>239</v>
      </c>
      <c r="D81" s="56" t="s">
        <v>240</v>
      </c>
      <c r="E81" s="82" t="s">
        <v>241</v>
      </c>
      <c r="G81" s="27"/>
      <c r="H81" s="101" t="str">
        <f t="shared" si="1"/>
        <v>NECOMPLETAT</v>
      </c>
      <c r="I81" s="4" t="s">
        <v>3181</v>
      </c>
      <c r="J81" s="4" t="s">
        <v>3183</v>
      </c>
      <c r="K81" s="4" t="s">
        <v>3183</v>
      </c>
    </row>
    <row r="82" spans="1:11" s="4" customFormat="1" ht="75" customHeight="1" x14ac:dyDescent="0.25">
      <c r="A82" s="27">
        <v>76</v>
      </c>
      <c r="B82" s="11" t="s">
        <v>1007</v>
      </c>
      <c r="C82" s="57" t="s">
        <v>242</v>
      </c>
      <c r="D82" s="57" t="s">
        <v>243</v>
      </c>
      <c r="E82" s="82" t="s">
        <v>244</v>
      </c>
      <c r="G82" s="27"/>
      <c r="H82" s="101" t="str">
        <f t="shared" si="1"/>
        <v>NECOMPLETAT</v>
      </c>
      <c r="I82" s="4" t="s">
        <v>3183</v>
      </c>
      <c r="J82" s="4" t="s">
        <v>3182</v>
      </c>
      <c r="K82" s="4" t="s">
        <v>3183</v>
      </c>
    </row>
    <row r="83" spans="1:11" s="4" customFormat="1" ht="60" x14ac:dyDescent="0.25">
      <c r="A83" s="27">
        <v>77</v>
      </c>
      <c r="B83" s="10" t="s">
        <v>245</v>
      </c>
      <c r="C83" s="57" t="s">
        <v>246</v>
      </c>
      <c r="D83" s="57" t="s">
        <v>247</v>
      </c>
      <c r="E83" s="83" t="s">
        <v>248</v>
      </c>
      <c r="G83" s="27"/>
      <c r="H83" s="101" t="str">
        <f t="shared" si="1"/>
        <v>NECOMPLETAT</v>
      </c>
      <c r="I83" s="4" t="s">
        <v>3181</v>
      </c>
      <c r="J83" s="4" t="s">
        <v>3183</v>
      </c>
      <c r="K83" s="4" t="s">
        <v>3183</v>
      </c>
    </row>
    <row r="84" spans="1:11" s="4" customFormat="1" ht="45" customHeight="1" x14ac:dyDescent="0.25">
      <c r="A84" s="27">
        <v>78</v>
      </c>
      <c r="B84" s="10" t="s">
        <v>249</v>
      </c>
      <c r="C84" s="57" t="s">
        <v>250</v>
      </c>
      <c r="D84" s="57" t="s">
        <v>247</v>
      </c>
      <c r="E84" s="83" t="s">
        <v>248</v>
      </c>
      <c r="G84" s="27"/>
      <c r="H84" s="101" t="str">
        <f t="shared" si="1"/>
        <v>NECOMPLETAT</v>
      </c>
      <c r="I84" s="4" t="s">
        <v>3183</v>
      </c>
      <c r="J84" s="4" t="s">
        <v>3182</v>
      </c>
      <c r="K84" s="4" t="s">
        <v>3183</v>
      </c>
    </row>
    <row r="85" spans="1:11" s="4" customFormat="1" ht="45" customHeight="1" x14ac:dyDescent="0.25">
      <c r="A85" s="27">
        <v>79</v>
      </c>
      <c r="B85" s="10" t="s">
        <v>1008</v>
      </c>
      <c r="C85" s="57" t="s">
        <v>251</v>
      </c>
      <c r="D85" s="57" t="s">
        <v>252</v>
      </c>
      <c r="E85" s="83" t="s">
        <v>253</v>
      </c>
      <c r="G85" s="27"/>
      <c r="H85" s="101" t="str">
        <f t="shared" si="1"/>
        <v>NECOMPLETAT</v>
      </c>
      <c r="I85" s="4" t="s">
        <v>3181</v>
      </c>
      <c r="J85" s="4" t="s">
        <v>3183</v>
      </c>
      <c r="K85" s="4" t="s">
        <v>3183</v>
      </c>
    </row>
    <row r="86" spans="1:11" s="4" customFormat="1" ht="45" customHeight="1" x14ac:dyDescent="0.25">
      <c r="A86" s="27">
        <v>80</v>
      </c>
      <c r="B86" s="10" t="s">
        <v>254</v>
      </c>
      <c r="C86" s="57" t="s">
        <v>255</v>
      </c>
      <c r="D86" s="57" t="s">
        <v>256</v>
      </c>
      <c r="E86" s="83" t="s">
        <v>901</v>
      </c>
      <c r="G86" s="27"/>
      <c r="H86" s="101" t="str">
        <f t="shared" si="1"/>
        <v>NECOMPLETAT</v>
      </c>
      <c r="I86" s="4" t="s">
        <v>3183</v>
      </c>
      <c r="J86" s="4" t="s">
        <v>3182</v>
      </c>
      <c r="K86" s="4" t="s">
        <v>3183</v>
      </c>
    </row>
    <row r="87" spans="1:11" s="4" customFormat="1" ht="45" customHeight="1" x14ac:dyDescent="0.25">
      <c r="A87" s="27">
        <v>81</v>
      </c>
      <c r="B87" s="10" t="s">
        <v>257</v>
      </c>
      <c r="C87" s="57" t="s">
        <v>258</v>
      </c>
      <c r="D87" s="57" t="s">
        <v>259</v>
      </c>
      <c r="E87" s="83" t="s">
        <v>260</v>
      </c>
      <c r="G87" s="27"/>
      <c r="H87" s="101" t="str">
        <f t="shared" si="1"/>
        <v>NECOMPLETAT</v>
      </c>
      <c r="I87" s="4" t="s">
        <v>3183</v>
      </c>
      <c r="J87" s="4" t="s">
        <v>3182</v>
      </c>
      <c r="K87" s="4" t="s">
        <v>3183</v>
      </c>
    </row>
    <row r="88" spans="1:11" s="4" customFormat="1" ht="30" customHeight="1" x14ac:dyDescent="0.25">
      <c r="A88" s="27">
        <v>82</v>
      </c>
      <c r="B88" s="10" t="s">
        <v>261</v>
      </c>
      <c r="C88" s="57" t="s">
        <v>262</v>
      </c>
      <c r="D88" s="57" t="s">
        <v>263</v>
      </c>
      <c r="E88" s="83" t="s">
        <v>264</v>
      </c>
      <c r="G88" s="27"/>
      <c r="H88" s="101" t="str">
        <f t="shared" si="1"/>
        <v>NECOMPLETAT</v>
      </c>
      <c r="I88" s="4" t="s">
        <v>3183</v>
      </c>
      <c r="J88" s="4" t="s">
        <v>3182</v>
      </c>
      <c r="K88" s="4" t="s">
        <v>3183</v>
      </c>
    </row>
    <row r="89" spans="1:11" s="4" customFormat="1" ht="30" customHeight="1" x14ac:dyDescent="0.25">
      <c r="A89" s="27">
        <v>83</v>
      </c>
      <c r="B89" s="10" t="s">
        <v>265</v>
      </c>
      <c r="C89" s="57" t="s">
        <v>266</v>
      </c>
      <c r="D89" s="56" t="s">
        <v>267</v>
      </c>
      <c r="E89" s="83" t="s">
        <v>268</v>
      </c>
      <c r="G89" s="27"/>
      <c r="H89" s="101" t="str">
        <f t="shared" si="1"/>
        <v>NECOMPLETAT</v>
      </c>
      <c r="I89" s="4" t="s">
        <v>3181</v>
      </c>
      <c r="J89" s="4" t="s">
        <v>3183</v>
      </c>
      <c r="K89" s="4" t="s">
        <v>3183</v>
      </c>
    </row>
    <row r="90" spans="1:11" s="4" customFormat="1" ht="45" customHeight="1" x14ac:dyDescent="0.25">
      <c r="A90" s="27">
        <v>84</v>
      </c>
      <c r="B90" s="10" t="s">
        <v>269</v>
      </c>
      <c r="C90" s="56" t="s">
        <v>270</v>
      </c>
      <c r="D90" s="57" t="s">
        <v>271</v>
      </c>
      <c r="E90" s="82" t="s">
        <v>272</v>
      </c>
      <c r="G90" s="27"/>
      <c r="H90" s="101" t="str">
        <f t="shared" si="1"/>
        <v>NECOMPLETAT</v>
      </c>
      <c r="I90" s="4" t="s">
        <v>3183</v>
      </c>
      <c r="J90" s="4" t="s">
        <v>3183</v>
      </c>
      <c r="K90" s="4" t="s">
        <v>3180</v>
      </c>
    </row>
    <row r="91" spans="1:11" s="4" customFormat="1" ht="30" customHeight="1" x14ac:dyDescent="0.25">
      <c r="A91" s="27">
        <v>85</v>
      </c>
      <c r="B91" s="10" t="s">
        <v>273</v>
      </c>
      <c r="C91" s="56" t="s">
        <v>274</v>
      </c>
      <c r="D91" s="56" t="s">
        <v>275</v>
      </c>
      <c r="E91" s="82" t="s">
        <v>276</v>
      </c>
      <c r="G91" s="27"/>
      <c r="H91" s="101" t="str">
        <f t="shared" si="1"/>
        <v>NECOMPLETAT</v>
      </c>
      <c r="I91" s="4" t="s">
        <v>3183</v>
      </c>
      <c r="J91" s="4" t="s">
        <v>3182</v>
      </c>
      <c r="K91" s="4" t="s">
        <v>3183</v>
      </c>
    </row>
    <row r="92" spans="1:11" s="4" customFormat="1" ht="30" customHeight="1" x14ac:dyDescent="0.25">
      <c r="A92" s="27">
        <v>86</v>
      </c>
      <c r="B92" s="10" t="s">
        <v>277</v>
      </c>
      <c r="C92" s="57" t="s">
        <v>278</v>
      </c>
      <c r="D92" s="57" t="s">
        <v>267</v>
      </c>
      <c r="E92" s="83" t="s">
        <v>266</v>
      </c>
      <c r="G92" s="27"/>
      <c r="H92" s="101" t="str">
        <f t="shared" si="1"/>
        <v>NECOMPLETAT</v>
      </c>
      <c r="I92" s="4" t="s">
        <v>3181</v>
      </c>
      <c r="J92" s="4" t="s">
        <v>3183</v>
      </c>
      <c r="K92" s="4" t="s">
        <v>3183</v>
      </c>
    </row>
    <row r="93" spans="1:11" s="4" customFormat="1" ht="20.25" customHeight="1" x14ac:dyDescent="0.25">
      <c r="A93" s="27">
        <v>87</v>
      </c>
      <c r="B93" s="10" t="s">
        <v>279</v>
      </c>
      <c r="C93" s="57" t="s">
        <v>280</v>
      </c>
      <c r="D93" s="57" t="s">
        <v>281</v>
      </c>
      <c r="E93" s="83" t="s">
        <v>44</v>
      </c>
      <c r="G93" s="27"/>
      <c r="H93" s="101" t="str">
        <f t="shared" si="1"/>
        <v>NECOMPLETAT</v>
      </c>
      <c r="I93" s="4" t="s">
        <v>3183</v>
      </c>
      <c r="J93" s="4" t="s">
        <v>3182</v>
      </c>
      <c r="K93" s="4" t="s">
        <v>3183</v>
      </c>
    </row>
    <row r="94" spans="1:11" s="4" customFormat="1" ht="60" customHeight="1" x14ac:dyDescent="0.25">
      <c r="A94" s="27">
        <v>88</v>
      </c>
      <c r="B94" s="10" t="s">
        <v>282</v>
      </c>
      <c r="C94" s="57" t="s">
        <v>283</v>
      </c>
      <c r="D94" s="57" t="s">
        <v>284</v>
      </c>
      <c r="E94" s="83" t="s">
        <v>285</v>
      </c>
      <c r="G94" s="27"/>
      <c r="H94" s="101" t="str">
        <f t="shared" si="1"/>
        <v>NECOMPLETAT</v>
      </c>
      <c r="I94" s="4" t="s">
        <v>3181</v>
      </c>
      <c r="J94" s="4" t="s">
        <v>3183</v>
      </c>
      <c r="K94" s="4" t="s">
        <v>3183</v>
      </c>
    </row>
    <row r="95" spans="1:11" s="4" customFormat="1" ht="60" customHeight="1" x14ac:dyDescent="0.25">
      <c r="A95" s="27">
        <v>89</v>
      </c>
      <c r="B95" s="10" t="s">
        <v>282</v>
      </c>
      <c r="C95" s="57" t="s">
        <v>919</v>
      </c>
      <c r="D95" s="57" t="s">
        <v>286</v>
      </c>
      <c r="E95" s="83" t="s">
        <v>287</v>
      </c>
      <c r="G95" s="27"/>
      <c r="H95" s="101" t="str">
        <f t="shared" si="1"/>
        <v>NECOMPLETAT</v>
      </c>
      <c r="I95" s="4" t="s">
        <v>3183</v>
      </c>
      <c r="J95" s="4" t="s">
        <v>3182</v>
      </c>
      <c r="K95" s="4" t="s">
        <v>3183</v>
      </c>
    </row>
    <row r="96" spans="1:11" s="4" customFormat="1" ht="45" customHeight="1" x14ac:dyDescent="0.25">
      <c r="A96" s="27">
        <v>90</v>
      </c>
      <c r="B96" s="10" t="s">
        <v>288</v>
      </c>
      <c r="C96" s="57" t="s">
        <v>289</v>
      </c>
      <c r="D96" s="57" t="s">
        <v>290</v>
      </c>
      <c r="E96" s="83" t="s">
        <v>291</v>
      </c>
      <c r="G96" s="27"/>
      <c r="H96" s="101" t="str">
        <f t="shared" si="1"/>
        <v>NECOMPLETAT</v>
      </c>
      <c r="I96" s="4" t="s">
        <v>3181</v>
      </c>
      <c r="J96" s="4" t="s">
        <v>3183</v>
      </c>
      <c r="K96" s="4" t="s">
        <v>3183</v>
      </c>
    </row>
    <row r="97" spans="1:11" s="4" customFormat="1" ht="45" customHeight="1" x14ac:dyDescent="0.25">
      <c r="A97" s="27">
        <v>91</v>
      </c>
      <c r="B97" s="10" t="s">
        <v>292</v>
      </c>
      <c r="C97" s="57" t="s">
        <v>293</v>
      </c>
      <c r="D97" s="57" t="s">
        <v>294</v>
      </c>
      <c r="E97" s="83" t="s">
        <v>295</v>
      </c>
      <c r="G97" s="27"/>
      <c r="H97" s="101" t="str">
        <f t="shared" si="1"/>
        <v>NECOMPLETAT</v>
      </c>
      <c r="I97" s="4" t="s">
        <v>3181</v>
      </c>
      <c r="J97" s="4" t="s">
        <v>3183</v>
      </c>
      <c r="K97" s="4" t="s">
        <v>3183</v>
      </c>
    </row>
    <row r="98" spans="1:11" s="4" customFormat="1" ht="45" customHeight="1" x14ac:dyDescent="0.25">
      <c r="A98" s="27">
        <v>92</v>
      </c>
      <c r="B98" s="10" t="s">
        <v>296</v>
      </c>
      <c r="C98" s="57" t="s">
        <v>297</v>
      </c>
      <c r="D98" s="57" t="s">
        <v>298</v>
      </c>
      <c r="E98" s="83" t="s">
        <v>299</v>
      </c>
      <c r="G98" s="27"/>
      <c r="H98" s="101" t="str">
        <f t="shared" si="1"/>
        <v>NECOMPLETAT</v>
      </c>
      <c r="I98" s="4" t="s">
        <v>3183</v>
      </c>
      <c r="J98" s="4" t="s">
        <v>3183</v>
      </c>
      <c r="K98" s="4" t="s">
        <v>3180</v>
      </c>
    </row>
    <row r="99" spans="1:11" s="4" customFormat="1" ht="60" customHeight="1" x14ac:dyDescent="0.25">
      <c r="A99" s="27">
        <v>93</v>
      </c>
      <c r="B99" s="10" t="s">
        <v>300</v>
      </c>
      <c r="C99" s="57" t="s">
        <v>301</v>
      </c>
      <c r="D99" s="57" t="s">
        <v>302</v>
      </c>
      <c r="E99" s="83" t="s">
        <v>303</v>
      </c>
      <c r="G99" s="27"/>
      <c r="H99" s="101" t="str">
        <f t="shared" si="1"/>
        <v>NECOMPLETAT</v>
      </c>
      <c r="I99" s="4" t="s">
        <v>3183</v>
      </c>
      <c r="J99" s="4" t="s">
        <v>3182</v>
      </c>
      <c r="K99" s="4" t="s">
        <v>3183</v>
      </c>
    </row>
    <row r="100" spans="1:11" s="4" customFormat="1" ht="60" customHeight="1" x14ac:dyDescent="0.25">
      <c r="A100" s="27">
        <v>94</v>
      </c>
      <c r="B100" s="10" t="s">
        <v>300</v>
      </c>
      <c r="C100" s="57" t="s">
        <v>304</v>
      </c>
      <c r="D100" s="57" t="s">
        <v>305</v>
      </c>
      <c r="E100" s="83" t="s">
        <v>306</v>
      </c>
      <c r="G100" s="27"/>
      <c r="H100" s="101" t="str">
        <f t="shared" si="1"/>
        <v>NECOMPLETAT</v>
      </c>
      <c r="I100" s="4" t="s">
        <v>3181</v>
      </c>
      <c r="J100" s="4" t="s">
        <v>3183</v>
      </c>
      <c r="K100" s="4" t="s">
        <v>3183</v>
      </c>
    </row>
    <row r="101" spans="1:11" s="4" customFormat="1" ht="45" x14ac:dyDescent="0.25">
      <c r="A101" s="27">
        <v>95</v>
      </c>
      <c r="B101" s="10" t="s">
        <v>307</v>
      </c>
      <c r="C101" s="57" t="s">
        <v>897</v>
      </c>
      <c r="D101" s="57" t="s">
        <v>898</v>
      </c>
      <c r="E101" s="83" t="s">
        <v>920</v>
      </c>
      <c r="G101" s="27"/>
      <c r="H101" s="101" t="str">
        <f t="shared" si="1"/>
        <v>NECOMPLETAT</v>
      </c>
      <c r="I101" s="4" t="s">
        <v>3183</v>
      </c>
      <c r="J101" s="4" t="s">
        <v>3182</v>
      </c>
      <c r="K101" s="4" t="s">
        <v>3183</v>
      </c>
    </row>
    <row r="102" spans="1:11" s="4" customFormat="1" ht="45" customHeight="1" x14ac:dyDescent="0.25">
      <c r="A102" s="27">
        <v>96</v>
      </c>
      <c r="B102" s="11" t="s">
        <v>308</v>
      </c>
      <c r="C102" s="56" t="s">
        <v>309</v>
      </c>
      <c r="D102" s="56" t="s">
        <v>310</v>
      </c>
      <c r="E102" s="82" t="s">
        <v>311</v>
      </c>
      <c r="G102" s="27"/>
      <c r="H102" s="101" t="str">
        <f t="shared" si="1"/>
        <v>NECOMPLETAT</v>
      </c>
      <c r="I102" s="4" t="s">
        <v>3181</v>
      </c>
      <c r="J102" s="4" t="s">
        <v>3183</v>
      </c>
      <c r="K102" s="4" t="s">
        <v>3183</v>
      </c>
    </row>
    <row r="103" spans="1:11" s="4" customFormat="1" ht="45" customHeight="1" x14ac:dyDescent="0.25">
      <c r="A103" s="27">
        <v>97</v>
      </c>
      <c r="B103" s="10" t="s">
        <v>312</v>
      </c>
      <c r="C103" s="57" t="s">
        <v>313</v>
      </c>
      <c r="D103" s="57" t="s">
        <v>314</v>
      </c>
      <c r="E103" s="83" t="s">
        <v>299</v>
      </c>
      <c r="G103" s="27"/>
      <c r="H103" s="101" t="str">
        <f t="shared" si="1"/>
        <v>NECOMPLETAT</v>
      </c>
      <c r="I103" s="4" t="s">
        <v>3183</v>
      </c>
      <c r="J103" s="4" t="s">
        <v>3183</v>
      </c>
      <c r="K103" s="4" t="s">
        <v>3180</v>
      </c>
    </row>
    <row r="104" spans="1:11" s="4" customFormat="1" ht="60" customHeight="1" x14ac:dyDescent="0.25">
      <c r="A104" s="27">
        <v>98</v>
      </c>
      <c r="B104" s="10" t="s">
        <v>854</v>
      </c>
      <c r="C104" s="57" t="s">
        <v>315</v>
      </c>
      <c r="D104" s="56" t="s">
        <v>316</v>
      </c>
      <c r="E104" s="83" t="s">
        <v>317</v>
      </c>
      <c r="G104" s="27"/>
      <c r="H104" s="101" t="str">
        <f t="shared" si="1"/>
        <v>NECOMPLETAT</v>
      </c>
      <c r="I104" s="4" t="s">
        <v>3183</v>
      </c>
      <c r="J104" s="4" t="s">
        <v>3182</v>
      </c>
      <c r="K104" s="4" t="s">
        <v>3183</v>
      </c>
    </row>
    <row r="105" spans="1:11" s="4" customFormat="1" ht="45" customHeight="1" x14ac:dyDescent="0.25">
      <c r="A105" s="27">
        <v>99</v>
      </c>
      <c r="B105" s="10" t="s">
        <v>318</v>
      </c>
      <c r="C105" s="57" t="s">
        <v>319</v>
      </c>
      <c r="D105" s="57" t="s">
        <v>320</v>
      </c>
      <c r="E105" s="83" t="s">
        <v>321</v>
      </c>
      <c r="G105" s="27"/>
      <c r="H105" s="101" t="str">
        <f t="shared" si="1"/>
        <v>NECOMPLETAT</v>
      </c>
      <c r="I105" s="4" t="s">
        <v>3181</v>
      </c>
      <c r="J105" s="4" t="s">
        <v>3183</v>
      </c>
      <c r="K105" s="4" t="s">
        <v>3183</v>
      </c>
    </row>
    <row r="106" spans="1:11" s="4" customFormat="1" ht="75" customHeight="1" x14ac:dyDescent="0.25">
      <c r="A106" s="27">
        <v>100</v>
      </c>
      <c r="B106" s="10" t="s">
        <v>322</v>
      </c>
      <c r="C106" s="57" t="s">
        <v>323</v>
      </c>
      <c r="D106" s="57" t="s">
        <v>324</v>
      </c>
      <c r="E106" s="83" t="s">
        <v>325</v>
      </c>
      <c r="G106" s="27"/>
      <c r="H106" s="101" t="str">
        <f t="shared" si="1"/>
        <v>NECOMPLETAT</v>
      </c>
      <c r="I106" s="4" t="s">
        <v>3183</v>
      </c>
      <c r="J106" s="4" t="s">
        <v>3182</v>
      </c>
      <c r="K106" s="4" t="s">
        <v>3183</v>
      </c>
    </row>
    <row r="107" spans="1:11" s="4" customFormat="1" ht="75" customHeight="1" x14ac:dyDescent="0.25">
      <c r="A107" s="27">
        <v>101</v>
      </c>
      <c r="B107" s="10" t="s">
        <v>921</v>
      </c>
      <c r="C107" s="57" t="s">
        <v>922</v>
      </c>
      <c r="D107" s="57" t="s">
        <v>924</v>
      </c>
      <c r="E107" s="83" t="s">
        <v>923</v>
      </c>
      <c r="G107" s="27"/>
      <c r="H107" s="101" t="str">
        <f t="shared" si="1"/>
        <v>NECOMPLETAT</v>
      </c>
      <c r="I107" s="4" t="s">
        <v>3183</v>
      </c>
      <c r="J107" s="4" t="s">
        <v>3183</v>
      </c>
      <c r="K107" s="4" t="s">
        <v>3180</v>
      </c>
    </row>
    <row r="108" spans="1:11" s="4" customFormat="1" ht="60" customHeight="1" x14ac:dyDescent="0.25">
      <c r="A108" s="27">
        <v>102</v>
      </c>
      <c r="B108" s="10" t="s">
        <v>326</v>
      </c>
      <c r="C108" s="57" t="s">
        <v>327</v>
      </c>
      <c r="D108" s="57" t="s">
        <v>328</v>
      </c>
      <c r="E108" s="83" t="s">
        <v>329</v>
      </c>
      <c r="G108" s="27"/>
      <c r="H108" s="101" t="str">
        <f t="shared" si="1"/>
        <v>NECOMPLETAT</v>
      </c>
      <c r="I108" s="4" t="s">
        <v>3183</v>
      </c>
      <c r="J108" s="4" t="s">
        <v>3182</v>
      </c>
      <c r="K108" s="4" t="s">
        <v>3183</v>
      </c>
    </row>
    <row r="109" spans="1:11" s="4" customFormat="1" ht="60" x14ac:dyDescent="0.25">
      <c r="A109" s="27">
        <v>103</v>
      </c>
      <c r="B109" s="10" t="s">
        <v>330</v>
      </c>
      <c r="C109" s="57" t="s">
        <v>331</v>
      </c>
      <c r="D109" s="57" t="s">
        <v>332</v>
      </c>
      <c r="E109" s="83" t="s">
        <v>333</v>
      </c>
      <c r="G109" s="27"/>
      <c r="H109" s="101" t="str">
        <f t="shared" si="1"/>
        <v>NECOMPLETAT</v>
      </c>
      <c r="I109" s="4" t="s">
        <v>3181</v>
      </c>
      <c r="J109" s="4" t="s">
        <v>3183</v>
      </c>
      <c r="K109" s="4" t="s">
        <v>3183</v>
      </c>
    </row>
    <row r="110" spans="1:11" s="4" customFormat="1" ht="45" customHeight="1" x14ac:dyDescent="0.25">
      <c r="A110" s="27">
        <v>104</v>
      </c>
      <c r="B110" s="10" t="s">
        <v>925</v>
      </c>
      <c r="C110" s="57" t="s">
        <v>926</v>
      </c>
      <c r="D110" s="57" t="s">
        <v>334</v>
      </c>
      <c r="E110" s="83" t="s">
        <v>335</v>
      </c>
      <c r="G110" s="27"/>
      <c r="H110" s="101" t="str">
        <f t="shared" si="1"/>
        <v>NECOMPLETAT</v>
      </c>
      <c r="I110" s="4" t="s">
        <v>3183</v>
      </c>
      <c r="J110" s="4" t="s">
        <v>3182</v>
      </c>
      <c r="K110" s="4" t="s">
        <v>3183</v>
      </c>
    </row>
    <row r="111" spans="1:11" s="4" customFormat="1" ht="45" customHeight="1" x14ac:dyDescent="0.25">
      <c r="A111" s="27">
        <v>105</v>
      </c>
      <c r="B111" s="10" t="s">
        <v>336</v>
      </c>
      <c r="C111" s="57" t="s">
        <v>337</v>
      </c>
      <c r="D111" s="57" t="s">
        <v>338</v>
      </c>
      <c r="E111" s="83" t="s">
        <v>339</v>
      </c>
      <c r="G111" s="27"/>
      <c r="H111" s="101" t="str">
        <f t="shared" si="1"/>
        <v>NECOMPLETAT</v>
      </c>
      <c r="I111" s="4" t="s">
        <v>3183</v>
      </c>
      <c r="J111" s="4" t="s">
        <v>3183</v>
      </c>
      <c r="K111" s="4" t="s">
        <v>3180</v>
      </c>
    </row>
    <row r="112" spans="1:11" s="4" customFormat="1" ht="60" customHeight="1" x14ac:dyDescent="0.25">
      <c r="A112" s="27">
        <v>106</v>
      </c>
      <c r="B112" s="10" t="s">
        <v>340</v>
      </c>
      <c r="C112" s="57" t="s">
        <v>341</v>
      </c>
      <c r="D112" s="57" t="s">
        <v>342</v>
      </c>
      <c r="E112" s="83" t="s">
        <v>343</v>
      </c>
      <c r="G112" s="27"/>
      <c r="H112" s="101" t="str">
        <f t="shared" si="1"/>
        <v>NECOMPLETAT</v>
      </c>
      <c r="I112" s="4" t="s">
        <v>3183</v>
      </c>
      <c r="J112" s="4" t="s">
        <v>3183</v>
      </c>
      <c r="K112" s="4" t="s">
        <v>3180</v>
      </c>
    </row>
    <row r="113" spans="1:11" s="4" customFormat="1" ht="45" customHeight="1" x14ac:dyDescent="0.25">
      <c r="A113" s="27">
        <v>107</v>
      </c>
      <c r="B113" s="10" t="s">
        <v>344</v>
      </c>
      <c r="C113" s="57" t="s">
        <v>345</v>
      </c>
      <c r="D113" s="57" t="s">
        <v>346</v>
      </c>
      <c r="E113" s="83" t="s">
        <v>347</v>
      </c>
      <c r="G113" s="27"/>
      <c r="H113" s="101" t="str">
        <f t="shared" si="1"/>
        <v>NECOMPLETAT</v>
      </c>
      <c r="I113" s="4" t="s">
        <v>3181</v>
      </c>
      <c r="J113" s="4" t="s">
        <v>3183</v>
      </c>
      <c r="K113" s="4" t="s">
        <v>3183</v>
      </c>
    </row>
    <row r="114" spans="1:11" s="4" customFormat="1" ht="30" customHeight="1" x14ac:dyDescent="0.25">
      <c r="A114" s="27">
        <v>108</v>
      </c>
      <c r="B114" s="10" t="s">
        <v>348</v>
      </c>
      <c r="C114" s="57" t="s">
        <v>337</v>
      </c>
      <c r="D114" s="57" t="s">
        <v>338</v>
      </c>
      <c r="E114" s="83" t="s">
        <v>349</v>
      </c>
      <c r="G114" s="27"/>
      <c r="H114" s="101" t="str">
        <f t="shared" si="1"/>
        <v>NECOMPLETAT</v>
      </c>
      <c r="I114" s="4" t="s">
        <v>3183</v>
      </c>
      <c r="J114" s="4" t="s">
        <v>3183</v>
      </c>
      <c r="K114" s="4" t="s">
        <v>3180</v>
      </c>
    </row>
    <row r="115" spans="1:11" s="4" customFormat="1" ht="45" customHeight="1" x14ac:dyDescent="0.25">
      <c r="A115" s="27">
        <v>109</v>
      </c>
      <c r="B115" s="10" t="s">
        <v>350</v>
      </c>
      <c r="C115" s="57" t="s">
        <v>351</v>
      </c>
      <c r="D115" s="57" t="s">
        <v>352</v>
      </c>
      <c r="E115" s="83" t="s">
        <v>353</v>
      </c>
      <c r="G115" s="27"/>
      <c r="H115" s="101" t="str">
        <f t="shared" si="1"/>
        <v>NECOMPLETAT</v>
      </c>
      <c r="I115" s="4" t="s">
        <v>3181</v>
      </c>
      <c r="J115" s="4" t="s">
        <v>3183</v>
      </c>
      <c r="K115" s="4" t="s">
        <v>3183</v>
      </c>
    </row>
    <row r="116" spans="1:11" s="4" customFormat="1" ht="123" customHeight="1" x14ac:dyDescent="0.25">
      <c r="A116" s="27">
        <v>110</v>
      </c>
      <c r="B116" s="10" t="s">
        <v>354</v>
      </c>
      <c r="C116" s="57" t="s">
        <v>355</v>
      </c>
      <c r="D116" s="57" t="s">
        <v>356</v>
      </c>
      <c r="E116" s="83" t="s">
        <v>357</v>
      </c>
      <c r="G116" s="27"/>
      <c r="H116" s="101" t="str">
        <f t="shared" si="1"/>
        <v>NECOMPLETAT</v>
      </c>
      <c r="I116" s="4" t="s">
        <v>3183</v>
      </c>
      <c r="J116" s="4" t="s">
        <v>3183</v>
      </c>
      <c r="K116" s="4" t="s">
        <v>3180</v>
      </c>
    </row>
    <row r="117" spans="1:11" s="4" customFormat="1" ht="60" customHeight="1" x14ac:dyDescent="0.25">
      <c r="A117" s="27">
        <v>111</v>
      </c>
      <c r="B117" s="10" t="s">
        <v>358</v>
      </c>
      <c r="C117" s="57" t="s">
        <v>359</v>
      </c>
      <c r="D117" s="57" t="s">
        <v>360</v>
      </c>
      <c r="E117" s="83" t="s">
        <v>361</v>
      </c>
      <c r="G117" s="27"/>
      <c r="H117" s="101" t="str">
        <f t="shared" si="1"/>
        <v>NECOMPLETAT</v>
      </c>
      <c r="I117" s="4" t="s">
        <v>3183</v>
      </c>
      <c r="J117" s="4" t="s">
        <v>3183</v>
      </c>
      <c r="K117" s="4" t="s">
        <v>3180</v>
      </c>
    </row>
    <row r="118" spans="1:11" s="4" customFormat="1" ht="30" customHeight="1" x14ac:dyDescent="0.25">
      <c r="A118" s="27">
        <v>112</v>
      </c>
      <c r="B118" s="10" t="s">
        <v>927</v>
      </c>
      <c r="C118" s="56" t="s">
        <v>928</v>
      </c>
      <c r="D118" s="57" t="s">
        <v>929</v>
      </c>
      <c r="E118" s="83" t="s">
        <v>362</v>
      </c>
      <c r="G118" s="27"/>
      <c r="H118" s="101" t="str">
        <f t="shared" si="1"/>
        <v>NECOMPLETAT</v>
      </c>
      <c r="I118" s="4" t="s">
        <v>3183</v>
      </c>
      <c r="J118" s="4" t="s">
        <v>3182</v>
      </c>
      <c r="K118" s="4" t="s">
        <v>3183</v>
      </c>
    </row>
    <row r="119" spans="1:11" s="4" customFormat="1" ht="45" customHeight="1" x14ac:dyDescent="0.25">
      <c r="A119" s="27">
        <v>113</v>
      </c>
      <c r="B119" s="10" t="s">
        <v>1037</v>
      </c>
      <c r="C119" s="57" t="s">
        <v>930</v>
      </c>
      <c r="D119" s="57" t="s">
        <v>1009</v>
      </c>
      <c r="E119" s="83" t="s">
        <v>1010</v>
      </c>
      <c r="G119" s="27"/>
      <c r="H119" s="101" t="str">
        <f t="shared" si="1"/>
        <v>NECOMPLETAT</v>
      </c>
      <c r="I119" s="4" t="s">
        <v>3183</v>
      </c>
      <c r="J119" s="4" t="s">
        <v>3183</v>
      </c>
      <c r="K119" s="4" t="s">
        <v>3180</v>
      </c>
    </row>
    <row r="120" spans="1:11" s="4" customFormat="1" ht="60" customHeight="1" x14ac:dyDescent="0.25">
      <c r="A120" s="27">
        <v>114</v>
      </c>
      <c r="B120" s="10" t="s">
        <v>363</v>
      </c>
      <c r="C120" s="57" t="s">
        <v>1026</v>
      </c>
      <c r="D120" s="57" t="s">
        <v>1027</v>
      </c>
      <c r="E120" s="83" t="s">
        <v>364</v>
      </c>
      <c r="G120" s="27"/>
      <c r="H120" s="101" t="str">
        <f t="shared" si="1"/>
        <v>NECOMPLETAT</v>
      </c>
      <c r="I120" s="4" t="s">
        <v>3181</v>
      </c>
      <c r="J120" s="4" t="s">
        <v>3183</v>
      </c>
      <c r="K120" s="4" t="s">
        <v>3183</v>
      </c>
    </row>
    <row r="121" spans="1:11" s="4" customFormat="1" ht="45" customHeight="1" x14ac:dyDescent="0.25">
      <c r="A121" s="27">
        <v>115</v>
      </c>
      <c r="B121" s="10" t="s">
        <v>365</v>
      </c>
      <c r="C121" s="57" t="s">
        <v>366</v>
      </c>
      <c r="D121" s="57" t="s">
        <v>44</v>
      </c>
      <c r="E121" s="83" t="s">
        <v>367</v>
      </c>
      <c r="G121" s="27"/>
      <c r="H121" s="101" t="str">
        <f t="shared" si="1"/>
        <v>NECOMPLETAT</v>
      </c>
      <c r="I121" s="4" t="s">
        <v>3181</v>
      </c>
      <c r="J121" s="4" t="s">
        <v>3183</v>
      </c>
      <c r="K121" s="4" t="s">
        <v>3183</v>
      </c>
    </row>
    <row r="122" spans="1:11" s="4" customFormat="1" ht="60" customHeight="1" x14ac:dyDescent="0.25">
      <c r="A122" s="27">
        <v>116</v>
      </c>
      <c r="B122" s="10" t="s">
        <v>931</v>
      </c>
      <c r="C122" s="57" t="s">
        <v>932</v>
      </c>
      <c r="D122" s="57" t="s">
        <v>933</v>
      </c>
      <c r="E122" s="82" t="s">
        <v>368</v>
      </c>
      <c r="G122" s="27"/>
      <c r="H122" s="101" t="str">
        <f t="shared" si="1"/>
        <v>NECOMPLETAT</v>
      </c>
      <c r="I122" s="4" t="s">
        <v>3181</v>
      </c>
      <c r="J122" s="4" t="s">
        <v>3183</v>
      </c>
      <c r="K122" s="4" t="s">
        <v>3183</v>
      </c>
    </row>
    <row r="123" spans="1:11" s="4" customFormat="1" ht="60" customHeight="1" x14ac:dyDescent="0.25">
      <c r="A123" s="27">
        <v>117</v>
      </c>
      <c r="B123" s="10" t="s">
        <v>369</v>
      </c>
      <c r="C123" s="57" t="s">
        <v>370</v>
      </c>
      <c r="D123" s="57" t="s">
        <v>371</v>
      </c>
      <c r="E123" s="83" t="s">
        <v>372</v>
      </c>
      <c r="G123" s="27"/>
      <c r="H123" s="101" t="str">
        <f t="shared" si="1"/>
        <v>NECOMPLETAT</v>
      </c>
      <c r="I123" s="4" t="s">
        <v>3181</v>
      </c>
      <c r="J123" s="4" t="s">
        <v>3183</v>
      </c>
      <c r="K123" s="4" t="s">
        <v>3183</v>
      </c>
    </row>
    <row r="124" spans="1:11" s="4" customFormat="1" ht="75" customHeight="1" x14ac:dyDescent="0.25">
      <c r="A124" s="27">
        <v>118</v>
      </c>
      <c r="B124" s="10" t="s">
        <v>373</v>
      </c>
      <c r="C124" s="56" t="s">
        <v>374</v>
      </c>
      <c r="D124" s="56" t="s">
        <v>375</v>
      </c>
      <c r="E124" s="82" t="s">
        <v>376</v>
      </c>
      <c r="G124" s="27"/>
      <c r="H124" s="101" t="str">
        <f t="shared" si="1"/>
        <v>NECOMPLETAT</v>
      </c>
      <c r="I124" s="4" t="s">
        <v>3183</v>
      </c>
      <c r="J124" s="4" t="s">
        <v>3182</v>
      </c>
      <c r="K124" s="4" t="s">
        <v>3183</v>
      </c>
    </row>
    <row r="125" spans="1:11" s="4" customFormat="1" ht="60" x14ac:dyDescent="0.25">
      <c r="A125" s="27">
        <v>119</v>
      </c>
      <c r="B125" s="10" t="s">
        <v>1011</v>
      </c>
      <c r="C125" s="56" t="s">
        <v>377</v>
      </c>
      <c r="D125" s="56" t="s">
        <v>378</v>
      </c>
      <c r="E125" s="83" t="s">
        <v>379</v>
      </c>
      <c r="G125" s="27"/>
      <c r="H125" s="101" t="str">
        <f t="shared" si="1"/>
        <v>NECOMPLETAT</v>
      </c>
      <c r="I125" s="4" t="s">
        <v>3183</v>
      </c>
      <c r="J125" s="4" t="s">
        <v>3183</v>
      </c>
      <c r="K125" s="4" t="s">
        <v>3180</v>
      </c>
    </row>
    <row r="126" spans="1:11" s="4" customFormat="1" ht="75" customHeight="1" x14ac:dyDescent="0.25">
      <c r="A126" s="27">
        <v>120</v>
      </c>
      <c r="B126" s="10" t="s">
        <v>380</v>
      </c>
      <c r="C126" s="56" t="s">
        <v>381</v>
      </c>
      <c r="D126" s="56" t="s">
        <v>382</v>
      </c>
      <c r="E126" s="82" t="s">
        <v>383</v>
      </c>
      <c r="G126" s="27"/>
      <c r="H126" s="101" t="str">
        <f t="shared" si="1"/>
        <v>NECOMPLETAT</v>
      </c>
      <c r="I126" s="4" t="s">
        <v>3183</v>
      </c>
      <c r="J126" s="4" t="s">
        <v>3183</v>
      </c>
      <c r="K126" s="4" t="s">
        <v>3180</v>
      </c>
    </row>
    <row r="127" spans="1:11" s="4" customFormat="1" ht="60" customHeight="1" x14ac:dyDescent="0.25">
      <c r="A127" s="27">
        <v>121</v>
      </c>
      <c r="B127" s="10" t="s">
        <v>384</v>
      </c>
      <c r="C127" s="57" t="s">
        <v>385</v>
      </c>
      <c r="D127" s="57" t="s">
        <v>386</v>
      </c>
      <c r="E127" s="83" t="s">
        <v>387</v>
      </c>
      <c r="G127" s="27"/>
      <c r="H127" s="101" t="str">
        <f t="shared" si="1"/>
        <v>NECOMPLETAT</v>
      </c>
      <c r="I127" s="4" t="s">
        <v>3183</v>
      </c>
      <c r="J127" s="4" t="s">
        <v>3182</v>
      </c>
      <c r="K127" s="4" t="s">
        <v>3183</v>
      </c>
    </row>
    <row r="128" spans="1:11" s="4" customFormat="1" ht="60" customHeight="1" x14ac:dyDescent="0.25">
      <c r="A128" s="27">
        <v>122</v>
      </c>
      <c r="B128" s="10" t="s">
        <v>934</v>
      </c>
      <c r="C128" s="57" t="s">
        <v>935</v>
      </c>
      <c r="D128" s="57" t="s">
        <v>936</v>
      </c>
      <c r="E128" s="83" t="s">
        <v>387</v>
      </c>
      <c r="G128" s="27"/>
      <c r="H128" s="101" t="str">
        <f t="shared" si="1"/>
        <v>NECOMPLETAT</v>
      </c>
      <c r="I128" s="4" t="s">
        <v>3183</v>
      </c>
      <c r="J128" s="4" t="s">
        <v>3182</v>
      </c>
      <c r="K128" s="4" t="s">
        <v>3183</v>
      </c>
    </row>
    <row r="129" spans="1:11" s="4" customFormat="1" ht="30" customHeight="1" x14ac:dyDescent="0.25">
      <c r="A129" s="27">
        <v>123</v>
      </c>
      <c r="B129" s="11" t="s">
        <v>388</v>
      </c>
      <c r="C129" s="56" t="s">
        <v>389</v>
      </c>
      <c r="D129" s="56" t="s">
        <v>390</v>
      </c>
      <c r="E129" s="82" t="s">
        <v>391</v>
      </c>
      <c r="G129" s="27"/>
      <c r="H129" s="101" t="str">
        <f t="shared" si="1"/>
        <v>NECOMPLETAT</v>
      </c>
      <c r="I129" s="4" t="s">
        <v>3183</v>
      </c>
      <c r="J129" s="4" t="s">
        <v>3183</v>
      </c>
      <c r="K129" s="4" t="s">
        <v>3180</v>
      </c>
    </row>
    <row r="130" spans="1:11" s="4" customFormat="1" ht="90" customHeight="1" x14ac:dyDescent="0.25">
      <c r="A130" s="27">
        <v>124</v>
      </c>
      <c r="B130" s="10" t="s">
        <v>392</v>
      </c>
      <c r="C130" s="57" t="s">
        <v>937</v>
      </c>
      <c r="D130" s="57" t="s">
        <v>394</v>
      </c>
      <c r="E130" s="83" t="s">
        <v>395</v>
      </c>
      <c r="G130" s="27"/>
      <c r="H130" s="101" t="str">
        <f t="shared" si="1"/>
        <v>NECOMPLETAT</v>
      </c>
      <c r="I130" s="4" t="s">
        <v>3183</v>
      </c>
      <c r="J130" s="4" t="s">
        <v>3183</v>
      </c>
      <c r="K130" s="4" t="s">
        <v>3180</v>
      </c>
    </row>
    <row r="131" spans="1:11" s="4" customFormat="1" ht="90" customHeight="1" x14ac:dyDescent="0.25">
      <c r="A131" s="27">
        <v>125</v>
      </c>
      <c r="B131" s="10" t="s">
        <v>392</v>
      </c>
      <c r="C131" s="57" t="s">
        <v>396</v>
      </c>
      <c r="D131" s="57" t="s">
        <v>397</v>
      </c>
      <c r="E131" s="83" t="s">
        <v>938</v>
      </c>
      <c r="G131" s="27"/>
      <c r="H131" s="101" t="str">
        <f t="shared" si="1"/>
        <v>NECOMPLETAT</v>
      </c>
      <c r="I131" s="4" t="s">
        <v>3183</v>
      </c>
      <c r="J131" s="4" t="s">
        <v>3182</v>
      </c>
      <c r="K131" s="4" t="s">
        <v>3183</v>
      </c>
    </row>
    <row r="132" spans="1:11" s="4" customFormat="1" ht="90" customHeight="1" x14ac:dyDescent="0.25">
      <c r="A132" s="27">
        <v>126</v>
      </c>
      <c r="B132" s="10" t="s">
        <v>392</v>
      </c>
      <c r="C132" s="57" t="s">
        <v>393</v>
      </c>
      <c r="D132" s="57" t="s">
        <v>394</v>
      </c>
      <c r="E132" s="83" t="s">
        <v>398</v>
      </c>
      <c r="G132" s="27"/>
      <c r="H132" s="101" t="str">
        <f t="shared" si="1"/>
        <v>NECOMPLETAT</v>
      </c>
      <c r="I132" s="4" t="s">
        <v>3181</v>
      </c>
      <c r="J132" s="4" t="s">
        <v>3183</v>
      </c>
      <c r="K132" s="4" t="s">
        <v>3183</v>
      </c>
    </row>
    <row r="133" spans="1:11" s="4" customFormat="1" ht="60" customHeight="1" x14ac:dyDescent="0.25">
      <c r="A133" s="27">
        <v>127</v>
      </c>
      <c r="B133" s="11" t="s">
        <v>399</v>
      </c>
      <c r="C133" s="57" t="s">
        <v>400</v>
      </c>
      <c r="D133" s="56" t="s">
        <v>401</v>
      </c>
      <c r="E133" s="82" t="s">
        <v>402</v>
      </c>
      <c r="G133" s="27"/>
      <c r="H133" s="101" t="str">
        <f t="shared" si="1"/>
        <v>NECOMPLETAT</v>
      </c>
      <c r="I133" s="4" t="s">
        <v>3181</v>
      </c>
      <c r="J133" s="4" t="s">
        <v>3183</v>
      </c>
      <c r="K133" s="4" t="s">
        <v>3183</v>
      </c>
    </row>
    <row r="134" spans="1:11" s="4" customFormat="1" ht="45" customHeight="1" x14ac:dyDescent="0.25">
      <c r="A134" s="27">
        <v>128</v>
      </c>
      <c r="B134" s="11" t="s">
        <v>403</v>
      </c>
      <c r="C134" s="56" t="s">
        <v>404</v>
      </c>
      <c r="D134" s="56" t="s">
        <v>405</v>
      </c>
      <c r="E134" s="82" t="s">
        <v>406</v>
      </c>
      <c r="G134" s="27"/>
      <c r="H134" s="101" t="str">
        <f t="shared" si="1"/>
        <v>NECOMPLETAT</v>
      </c>
      <c r="I134" s="4" t="s">
        <v>3181</v>
      </c>
      <c r="J134" s="4" t="s">
        <v>3183</v>
      </c>
      <c r="K134" s="4" t="s">
        <v>3183</v>
      </c>
    </row>
    <row r="135" spans="1:11" s="4" customFormat="1" ht="45" customHeight="1" x14ac:dyDescent="0.25">
      <c r="A135" s="27">
        <v>129</v>
      </c>
      <c r="B135" s="10" t="s">
        <v>407</v>
      </c>
      <c r="C135" s="57" t="s">
        <v>408</v>
      </c>
      <c r="D135" s="57" t="s">
        <v>409</v>
      </c>
      <c r="E135" s="83" t="s">
        <v>410</v>
      </c>
      <c r="G135" s="27"/>
      <c r="H135" s="101" t="str">
        <f t="shared" si="1"/>
        <v>NECOMPLETAT</v>
      </c>
      <c r="I135" s="4" t="s">
        <v>3183</v>
      </c>
      <c r="J135" s="4" t="s">
        <v>3183</v>
      </c>
      <c r="K135" s="4" t="s">
        <v>3180</v>
      </c>
    </row>
    <row r="136" spans="1:11" s="4" customFormat="1" ht="45" customHeight="1" x14ac:dyDescent="0.25">
      <c r="A136" s="27">
        <v>130</v>
      </c>
      <c r="B136" s="10" t="s">
        <v>411</v>
      </c>
      <c r="C136" s="56" t="s">
        <v>412</v>
      </c>
      <c r="D136" s="56" t="s">
        <v>413</v>
      </c>
      <c r="E136" s="82" t="s">
        <v>414</v>
      </c>
      <c r="G136" s="27"/>
      <c r="H136" s="101" t="str">
        <f t="shared" ref="H136:H199" si="2">IF(G136=0,"NECOMPLETAT",IF(OR(G136=I136,G136=J136,G136=K136),"CORECT","GRESIT"))</f>
        <v>NECOMPLETAT</v>
      </c>
      <c r="I136" s="4" t="s">
        <v>3181</v>
      </c>
      <c r="J136" s="4" t="s">
        <v>3183</v>
      </c>
      <c r="K136" s="4" t="s">
        <v>3183</v>
      </c>
    </row>
    <row r="137" spans="1:11" s="4" customFormat="1" ht="45" customHeight="1" x14ac:dyDescent="0.25">
      <c r="A137" s="27">
        <v>131</v>
      </c>
      <c r="B137" s="10" t="s">
        <v>415</v>
      </c>
      <c r="C137" s="57" t="s">
        <v>416</v>
      </c>
      <c r="D137" s="57" t="s">
        <v>409</v>
      </c>
      <c r="E137" s="83" t="s">
        <v>417</v>
      </c>
      <c r="G137" s="27"/>
      <c r="H137" s="101" t="str">
        <f t="shared" si="2"/>
        <v>NECOMPLETAT</v>
      </c>
      <c r="I137" s="4" t="s">
        <v>3183</v>
      </c>
      <c r="J137" s="4" t="s">
        <v>3183</v>
      </c>
      <c r="K137" s="4" t="s">
        <v>3180</v>
      </c>
    </row>
    <row r="138" spans="1:11" s="4" customFormat="1" ht="75" customHeight="1" x14ac:dyDescent="0.25">
      <c r="A138" s="27">
        <v>132</v>
      </c>
      <c r="B138" s="10" t="s">
        <v>418</v>
      </c>
      <c r="C138" s="57" t="s">
        <v>419</v>
      </c>
      <c r="D138" s="57" t="s">
        <v>420</v>
      </c>
      <c r="E138" s="83" t="s">
        <v>421</v>
      </c>
      <c r="G138" s="27"/>
      <c r="H138" s="101" t="str">
        <f t="shared" si="2"/>
        <v>NECOMPLETAT</v>
      </c>
      <c r="I138" s="4" t="s">
        <v>3181</v>
      </c>
      <c r="J138" s="4" t="s">
        <v>3183</v>
      </c>
      <c r="K138" s="4" t="s">
        <v>3183</v>
      </c>
    </row>
    <row r="139" spans="1:11" s="4" customFormat="1" ht="45" customHeight="1" x14ac:dyDescent="0.25">
      <c r="A139" s="27">
        <v>133</v>
      </c>
      <c r="B139" s="10" t="s">
        <v>422</v>
      </c>
      <c r="C139" s="56" t="s">
        <v>423</v>
      </c>
      <c r="D139" s="56" t="s">
        <v>424</v>
      </c>
      <c r="E139" s="82" t="s">
        <v>425</v>
      </c>
      <c r="G139" s="27"/>
      <c r="H139" s="101" t="str">
        <f t="shared" si="2"/>
        <v>NECOMPLETAT</v>
      </c>
      <c r="I139" s="4" t="s">
        <v>3183</v>
      </c>
      <c r="J139" s="4" t="s">
        <v>3183</v>
      </c>
      <c r="K139" s="4" t="s">
        <v>3180</v>
      </c>
    </row>
    <row r="140" spans="1:11" s="4" customFormat="1" ht="60" customHeight="1" x14ac:dyDescent="0.25">
      <c r="A140" s="27">
        <v>134</v>
      </c>
      <c r="B140" s="10" t="s">
        <v>426</v>
      </c>
      <c r="C140" s="57" t="s">
        <v>427</v>
      </c>
      <c r="D140" s="57" t="s">
        <v>428</v>
      </c>
      <c r="E140" s="83" t="s">
        <v>429</v>
      </c>
      <c r="G140" s="27"/>
      <c r="H140" s="101" t="str">
        <f t="shared" si="2"/>
        <v>NECOMPLETAT</v>
      </c>
      <c r="I140" s="4" t="s">
        <v>3181</v>
      </c>
      <c r="J140" s="4" t="s">
        <v>3183</v>
      </c>
      <c r="K140" s="4" t="s">
        <v>3183</v>
      </c>
    </row>
    <row r="141" spans="1:11" s="4" customFormat="1" ht="30" customHeight="1" x14ac:dyDescent="0.25">
      <c r="A141" s="27">
        <v>135</v>
      </c>
      <c r="B141" s="10" t="s">
        <v>430</v>
      </c>
      <c r="C141" s="57" t="s">
        <v>431</v>
      </c>
      <c r="D141" s="57" t="s">
        <v>432</v>
      </c>
      <c r="E141" s="83" t="s">
        <v>433</v>
      </c>
      <c r="G141" s="27"/>
      <c r="H141" s="101" t="str">
        <f t="shared" si="2"/>
        <v>NECOMPLETAT</v>
      </c>
      <c r="I141" s="4" t="s">
        <v>3183</v>
      </c>
      <c r="J141" s="4" t="s">
        <v>3182</v>
      </c>
      <c r="K141" s="4" t="s">
        <v>3183</v>
      </c>
    </row>
    <row r="142" spans="1:11" s="4" customFormat="1" ht="30" customHeight="1" x14ac:dyDescent="0.25">
      <c r="A142" s="27">
        <v>136</v>
      </c>
      <c r="B142" s="10" t="s">
        <v>434</v>
      </c>
      <c r="C142" s="56" t="s">
        <v>435</v>
      </c>
      <c r="D142" s="56" t="s">
        <v>436</v>
      </c>
      <c r="E142" s="83" t="s">
        <v>437</v>
      </c>
      <c r="G142" s="27"/>
      <c r="H142" s="101" t="str">
        <f t="shared" si="2"/>
        <v>NECOMPLETAT</v>
      </c>
      <c r="I142" s="4" t="s">
        <v>3183</v>
      </c>
      <c r="J142" s="4" t="s">
        <v>3183</v>
      </c>
      <c r="K142" s="4" t="s">
        <v>3180</v>
      </c>
    </row>
    <row r="143" spans="1:11" s="4" customFormat="1" ht="45" customHeight="1" x14ac:dyDescent="0.25">
      <c r="A143" s="27">
        <v>137</v>
      </c>
      <c r="B143" s="10" t="s">
        <v>407</v>
      </c>
      <c r="C143" s="57" t="s">
        <v>409</v>
      </c>
      <c r="D143" s="57" t="s">
        <v>438</v>
      </c>
      <c r="E143" s="83" t="s">
        <v>439</v>
      </c>
      <c r="G143" s="27"/>
      <c r="H143" s="101" t="str">
        <f t="shared" si="2"/>
        <v>NECOMPLETAT</v>
      </c>
      <c r="I143" s="4" t="s">
        <v>3183</v>
      </c>
      <c r="J143" s="4" t="s">
        <v>3182</v>
      </c>
      <c r="K143" s="4" t="s">
        <v>3183</v>
      </c>
    </row>
    <row r="144" spans="1:11" s="4" customFormat="1" ht="45" customHeight="1" x14ac:dyDescent="0.25">
      <c r="A144" s="27">
        <v>138</v>
      </c>
      <c r="B144" s="10" t="s">
        <v>415</v>
      </c>
      <c r="C144" s="57" t="s">
        <v>416</v>
      </c>
      <c r="D144" s="57" t="s">
        <v>440</v>
      </c>
      <c r="E144" s="83" t="s">
        <v>441</v>
      </c>
      <c r="G144" s="27"/>
      <c r="H144" s="101" t="str">
        <f t="shared" si="2"/>
        <v>NECOMPLETAT</v>
      </c>
      <c r="I144" s="4" t="s">
        <v>3183</v>
      </c>
      <c r="J144" s="4" t="s">
        <v>3182</v>
      </c>
      <c r="K144" s="4" t="s">
        <v>3183</v>
      </c>
    </row>
    <row r="145" spans="1:11" s="4" customFormat="1" ht="60" customHeight="1" x14ac:dyDescent="0.25">
      <c r="A145" s="27">
        <v>139</v>
      </c>
      <c r="B145" s="10" t="s">
        <v>893</v>
      </c>
      <c r="C145" s="56" t="s">
        <v>442</v>
      </c>
      <c r="D145" s="56" t="s">
        <v>443</v>
      </c>
      <c r="E145" s="82" t="s">
        <v>444</v>
      </c>
      <c r="G145" s="27"/>
      <c r="H145" s="101" t="str">
        <f t="shared" si="2"/>
        <v>NECOMPLETAT</v>
      </c>
      <c r="I145" s="4" t="s">
        <v>3183</v>
      </c>
      <c r="J145" s="4" t="s">
        <v>3183</v>
      </c>
      <c r="K145" s="4" t="s">
        <v>3180</v>
      </c>
    </row>
    <row r="146" spans="1:11" s="4" customFormat="1" ht="45" customHeight="1" x14ac:dyDescent="0.25">
      <c r="A146" s="27">
        <v>140</v>
      </c>
      <c r="B146" s="10" t="s">
        <v>445</v>
      </c>
      <c r="C146" s="57" t="s">
        <v>446</v>
      </c>
      <c r="D146" s="57" t="s">
        <v>447</v>
      </c>
      <c r="E146" s="83" t="s">
        <v>448</v>
      </c>
      <c r="G146" s="27"/>
      <c r="H146" s="101" t="str">
        <f t="shared" si="2"/>
        <v>NECOMPLETAT</v>
      </c>
      <c r="I146" s="4" t="s">
        <v>3181</v>
      </c>
      <c r="J146" s="4" t="s">
        <v>3183</v>
      </c>
      <c r="K146" s="4" t="s">
        <v>3183</v>
      </c>
    </row>
    <row r="147" spans="1:11" s="4" customFormat="1" ht="30" customHeight="1" x14ac:dyDescent="0.25">
      <c r="A147" s="27">
        <v>141</v>
      </c>
      <c r="B147" s="10" t="s">
        <v>449</v>
      </c>
      <c r="C147" s="56" t="s">
        <v>450</v>
      </c>
      <c r="D147" s="56" t="s">
        <v>451</v>
      </c>
      <c r="E147" s="82" t="s">
        <v>452</v>
      </c>
      <c r="G147" s="27"/>
      <c r="H147" s="101" t="str">
        <f t="shared" si="2"/>
        <v>NECOMPLETAT</v>
      </c>
      <c r="I147" s="4" t="s">
        <v>3183</v>
      </c>
      <c r="J147" s="4" t="s">
        <v>3183</v>
      </c>
      <c r="K147" s="4" t="s">
        <v>3180</v>
      </c>
    </row>
    <row r="148" spans="1:11" s="4" customFormat="1" ht="30" customHeight="1" x14ac:dyDescent="0.25">
      <c r="A148" s="27">
        <v>142</v>
      </c>
      <c r="B148" s="10" t="s">
        <v>1012</v>
      </c>
      <c r="C148" s="57" t="s">
        <v>453</v>
      </c>
      <c r="D148" s="57" t="s">
        <v>454</v>
      </c>
      <c r="E148" s="83" t="s">
        <v>455</v>
      </c>
      <c r="G148" s="27"/>
      <c r="H148" s="101" t="str">
        <f t="shared" si="2"/>
        <v>NECOMPLETAT</v>
      </c>
      <c r="I148" s="4" t="s">
        <v>3183</v>
      </c>
      <c r="J148" s="4" t="s">
        <v>3183</v>
      </c>
      <c r="K148" s="4" t="s">
        <v>3180</v>
      </c>
    </row>
    <row r="149" spans="1:11" s="4" customFormat="1" ht="45" x14ac:dyDescent="0.25">
      <c r="A149" s="27">
        <v>143</v>
      </c>
      <c r="B149" s="10" t="s">
        <v>456</v>
      </c>
      <c r="C149" s="57" t="s">
        <v>457</v>
      </c>
      <c r="D149" s="57" t="s">
        <v>458</v>
      </c>
      <c r="E149" s="82" t="s">
        <v>459</v>
      </c>
      <c r="G149" s="27"/>
      <c r="H149" s="101" t="str">
        <f t="shared" si="2"/>
        <v>NECOMPLETAT</v>
      </c>
      <c r="I149" s="4" t="s">
        <v>3183</v>
      </c>
      <c r="J149" s="4" t="s">
        <v>3182</v>
      </c>
      <c r="K149" s="4" t="s">
        <v>3183</v>
      </c>
    </row>
    <row r="150" spans="1:11" s="4" customFormat="1" ht="30" customHeight="1" x14ac:dyDescent="0.25">
      <c r="A150" s="27">
        <v>144</v>
      </c>
      <c r="B150" s="10" t="s">
        <v>460</v>
      </c>
      <c r="C150" s="57" t="s">
        <v>461</v>
      </c>
      <c r="D150" s="56" t="s">
        <v>462</v>
      </c>
      <c r="E150" s="83" t="s">
        <v>939</v>
      </c>
      <c r="G150" s="27"/>
      <c r="H150" s="101" t="str">
        <f t="shared" si="2"/>
        <v>NECOMPLETAT</v>
      </c>
      <c r="I150" s="4" t="s">
        <v>3183</v>
      </c>
      <c r="J150" s="4" t="s">
        <v>3182</v>
      </c>
      <c r="K150" s="4" t="s">
        <v>3183</v>
      </c>
    </row>
    <row r="151" spans="1:11" s="4" customFormat="1" ht="30" customHeight="1" x14ac:dyDescent="0.25">
      <c r="A151" s="27">
        <v>145</v>
      </c>
      <c r="B151" s="10" t="s">
        <v>463</v>
      </c>
      <c r="C151" s="57" t="s">
        <v>464</v>
      </c>
      <c r="D151" s="56" t="s">
        <v>465</v>
      </c>
      <c r="E151" s="82" t="s">
        <v>466</v>
      </c>
      <c r="G151" s="27"/>
      <c r="H151" s="101" t="str">
        <f t="shared" si="2"/>
        <v>NECOMPLETAT</v>
      </c>
      <c r="I151" s="4" t="s">
        <v>3183</v>
      </c>
      <c r="J151" s="4" t="s">
        <v>3182</v>
      </c>
      <c r="K151" s="4" t="s">
        <v>3183</v>
      </c>
    </row>
    <row r="152" spans="1:11" s="4" customFormat="1" ht="45" customHeight="1" x14ac:dyDescent="0.25">
      <c r="A152" s="27">
        <v>146</v>
      </c>
      <c r="B152" s="10" t="s">
        <v>467</v>
      </c>
      <c r="C152" s="57" t="s">
        <v>468</v>
      </c>
      <c r="D152" s="57" t="s">
        <v>469</v>
      </c>
      <c r="E152" s="83" t="s">
        <v>470</v>
      </c>
      <c r="G152" s="27"/>
      <c r="H152" s="101" t="str">
        <f t="shared" si="2"/>
        <v>NECOMPLETAT</v>
      </c>
      <c r="I152" s="4" t="s">
        <v>3183</v>
      </c>
      <c r="J152" s="4" t="s">
        <v>3182</v>
      </c>
      <c r="K152" s="4" t="s">
        <v>3183</v>
      </c>
    </row>
    <row r="153" spans="1:11" s="4" customFormat="1" ht="30" customHeight="1" x14ac:dyDescent="0.25">
      <c r="A153" s="27">
        <v>147</v>
      </c>
      <c r="B153" s="11" t="s">
        <v>471</v>
      </c>
      <c r="C153" s="56" t="s">
        <v>472</v>
      </c>
      <c r="D153" s="57" t="s">
        <v>473</v>
      </c>
      <c r="E153" s="82" t="s">
        <v>474</v>
      </c>
      <c r="G153" s="27"/>
      <c r="H153" s="101" t="str">
        <f t="shared" si="2"/>
        <v>NECOMPLETAT</v>
      </c>
      <c r="I153" s="4" t="s">
        <v>3183</v>
      </c>
      <c r="J153" s="4" t="s">
        <v>3183</v>
      </c>
      <c r="K153" s="4" t="s">
        <v>3180</v>
      </c>
    </row>
    <row r="154" spans="1:11" s="4" customFormat="1" ht="45" customHeight="1" x14ac:dyDescent="0.25">
      <c r="A154" s="27">
        <v>148</v>
      </c>
      <c r="B154" s="11" t="s">
        <v>1013</v>
      </c>
      <c r="C154" s="56" t="s">
        <v>475</v>
      </c>
      <c r="D154" s="56" t="s">
        <v>476</v>
      </c>
      <c r="E154" s="82" t="s">
        <v>892</v>
      </c>
      <c r="G154" s="27"/>
      <c r="H154" s="101" t="str">
        <f t="shared" si="2"/>
        <v>NECOMPLETAT</v>
      </c>
      <c r="I154" s="4" t="s">
        <v>3183</v>
      </c>
      <c r="J154" s="4" t="s">
        <v>3182</v>
      </c>
      <c r="K154" s="4" t="s">
        <v>3183</v>
      </c>
    </row>
    <row r="155" spans="1:11" s="4" customFormat="1" ht="45" customHeight="1" x14ac:dyDescent="0.25">
      <c r="A155" s="27">
        <v>149</v>
      </c>
      <c r="B155" s="11" t="s">
        <v>477</v>
      </c>
      <c r="C155" s="57" t="s">
        <v>478</v>
      </c>
      <c r="D155" s="57" t="s">
        <v>479</v>
      </c>
      <c r="E155" s="83" t="s">
        <v>480</v>
      </c>
      <c r="G155" s="27"/>
      <c r="H155" s="101" t="str">
        <f t="shared" si="2"/>
        <v>NECOMPLETAT</v>
      </c>
      <c r="I155" s="4" t="s">
        <v>3181</v>
      </c>
      <c r="J155" s="4" t="s">
        <v>3183</v>
      </c>
      <c r="K155" s="4" t="s">
        <v>3183</v>
      </c>
    </row>
    <row r="156" spans="1:11" s="4" customFormat="1" ht="60" customHeight="1" x14ac:dyDescent="0.25">
      <c r="A156" s="27">
        <v>150</v>
      </c>
      <c r="B156" s="10" t="s">
        <v>481</v>
      </c>
      <c r="C156" s="56" t="s">
        <v>482</v>
      </c>
      <c r="D156" s="57" t="s">
        <v>483</v>
      </c>
      <c r="E156" s="82" t="s">
        <v>484</v>
      </c>
      <c r="G156" s="27"/>
      <c r="H156" s="101" t="str">
        <f t="shared" si="2"/>
        <v>NECOMPLETAT</v>
      </c>
      <c r="I156" s="4" t="s">
        <v>3183</v>
      </c>
      <c r="J156" s="4" t="s">
        <v>3183</v>
      </c>
      <c r="K156" s="4" t="s">
        <v>3180</v>
      </c>
    </row>
    <row r="157" spans="1:11" s="4" customFormat="1" ht="45" customHeight="1" x14ac:dyDescent="0.25">
      <c r="A157" s="27">
        <v>151</v>
      </c>
      <c r="B157" s="10" t="s">
        <v>485</v>
      </c>
      <c r="C157" s="57" t="s">
        <v>486</v>
      </c>
      <c r="D157" s="57" t="s">
        <v>487</v>
      </c>
      <c r="E157" s="83" t="s">
        <v>488</v>
      </c>
      <c r="G157" s="27"/>
      <c r="H157" s="101" t="str">
        <f t="shared" si="2"/>
        <v>NECOMPLETAT</v>
      </c>
      <c r="I157" s="4" t="s">
        <v>3183</v>
      </c>
      <c r="J157" s="4" t="s">
        <v>3183</v>
      </c>
      <c r="K157" s="4" t="s">
        <v>3180</v>
      </c>
    </row>
    <row r="158" spans="1:11" s="4" customFormat="1" ht="60" customHeight="1" x14ac:dyDescent="0.25">
      <c r="A158" s="27">
        <v>152</v>
      </c>
      <c r="B158" s="10" t="s">
        <v>489</v>
      </c>
      <c r="C158" s="57" t="s">
        <v>490</v>
      </c>
      <c r="D158" s="57" t="s">
        <v>491</v>
      </c>
      <c r="E158" s="83" t="s">
        <v>492</v>
      </c>
      <c r="G158" s="27"/>
      <c r="H158" s="101" t="str">
        <f t="shared" si="2"/>
        <v>NECOMPLETAT</v>
      </c>
      <c r="I158" s="4" t="s">
        <v>3181</v>
      </c>
      <c r="J158" s="4" t="s">
        <v>3183</v>
      </c>
      <c r="K158" s="4" t="s">
        <v>3183</v>
      </c>
    </row>
    <row r="159" spans="1:11" s="4" customFormat="1" ht="45" customHeight="1" x14ac:dyDescent="0.25">
      <c r="A159" s="27">
        <v>153</v>
      </c>
      <c r="B159" s="10" t="s">
        <v>493</v>
      </c>
      <c r="C159" s="57" t="s">
        <v>494</v>
      </c>
      <c r="D159" s="57" t="s">
        <v>495</v>
      </c>
      <c r="E159" s="83" t="s">
        <v>496</v>
      </c>
      <c r="G159" s="27"/>
      <c r="H159" s="101" t="str">
        <f t="shared" si="2"/>
        <v>NECOMPLETAT</v>
      </c>
      <c r="I159" s="4" t="s">
        <v>3183</v>
      </c>
      <c r="J159" s="4" t="s">
        <v>3182</v>
      </c>
      <c r="K159" s="4" t="s">
        <v>3183</v>
      </c>
    </row>
    <row r="160" spans="1:11" s="4" customFormat="1" ht="45" customHeight="1" x14ac:dyDescent="0.25">
      <c r="A160" s="27">
        <v>154</v>
      </c>
      <c r="B160" s="10" t="s">
        <v>497</v>
      </c>
      <c r="C160" s="57">
        <v>1</v>
      </c>
      <c r="D160" s="57">
        <v>0</v>
      </c>
      <c r="E160" s="83" t="s">
        <v>498</v>
      </c>
      <c r="G160" s="27"/>
      <c r="H160" s="101" t="str">
        <f t="shared" si="2"/>
        <v>NECOMPLETAT</v>
      </c>
      <c r="I160" s="4" t="s">
        <v>3183</v>
      </c>
      <c r="J160" s="4" t="s">
        <v>3182</v>
      </c>
      <c r="K160" s="4" t="s">
        <v>3183</v>
      </c>
    </row>
    <row r="161" spans="1:11" s="4" customFormat="1" ht="45" customHeight="1" x14ac:dyDescent="0.25">
      <c r="A161" s="27">
        <v>155</v>
      </c>
      <c r="B161" s="10" t="s">
        <v>499</v>
      </c>
      <c r="C161" s="57" t="s">
        <v>500</v>
      </c>
      <c r="D161" s="57" t="s">
        <v>940</v>
      </c>
      <c r="E161" s="83" t="s">
        <v>501</v>
      </c>
      <c r="G161" s="27"/>
      <c r="H161" s="101" t="str">
        <f t="shared" si="2"/>
        <v>NECOMPLETAT</v>
      </c>
      <c r="I161" s="4" t="s">
        <v>3183</v>
      </c>
      <c r="J161" s="4" t="s">
        <v>3183</v>
      </c>
      <c r="K161" s="4" t="s">
        <v>3180</v>
      </c>
    </row>
    <row r="162" spans="1:11" s="4" customFormat="1" ht="45" customHeight="1" x14ac:dyDescent="0.25">
      <c r="A162" s="27">
        <v>156</v>
      </c>
      <c r="B162" s="10" t="s">
        <v>502</v>
      </c>
      <c r="C162" s="57" t="s">
        <v>503</v>
      </c>
      <c r="D162" s="57" t="s">
        <v>504</v>
      </c>
      <c r="E162" s="83" t="s">
        <v>505</v>
      </c>
      <c r="G162" s="27"/>
      <c r="H162" s="101" t="str">
        <f t="shared" si="2"/>
        <v>NECOMPLETAT</v>
      </c>
      <c r="I162" s="4" t="s">
        <v>3183</v>
      </c>
      <c r="J162" s="4" t="s">
        <v>3183</v>
      </c>
      <c r="K162" s="4" t="s">
        <v>3180</v>
      </c>
    </row>
    <row r="163" spans="1:11" s="4" customFormat="1" ht="45" customHeight="1" x14ac:dyDescent="0.25">
      <c r="A163" s="27">
        <v>157</v>
      </c>
      <c r="B163" s="10" t="s">
        <v>506</v>
      </c>
      <c r="C163" s="57" t="s">
        <v>507</v>
      </c>
      <c r="D163" s="57" t="s">
        <v>508</v>
      </c>
      <c r="E163" s="82" t="s">
        <v>509</v>
      </c>
      <c r="G163" s="27"/>
      <c r="H163" s="101" t="str">
        <f t="shared" si="2"/>
        <v>NECOMPLETAT</v>
      </c>
      <c r="I163" s="4" t="s">
        <v>3183</v>
      </c>
      <c r="J163" s="4" t="s">
        <v>3182</v>
      </c>
      <c r="K163" s="4" t="s">
        <v>3183</v>
      </c>
    </row>
    <row r="164" spans="1:11" s="4" customFormat="1" ht="45" customHeight="1" x14ac:dyDescent="0.25">
      <c r="A164" s="27">
        <v>158</v>
      </c>
      <c r="B164" s="10" t="s">
        <v>510</v>
      </c>
      <c r="C164" s="57" t="s">
        <v>511</v>
      </c>
      <c r="D164" s="56" t="s">
        <v>512</v>
      </c>
      <c r="E164" s="83" t="s">
        <v>941</v>
      </c>
      <c r="G164" s="27"/>
      <c r="H164" s="101" t="str">
        <f t="shared" si="2"/>
        <v>NECOMPLETAT</v>
      </c>
      <c r="I164" s="4" t="s">
        <v>3181</v>
      </c>
      <c r="J164" s="4" t="s">
        <v>3183</v>
      </c>
      <c r="K164" s="4" t="s">
        <v>3183</v>
      </c>
    </row>
    <row r="165" spans="1:11" s="4" customFormat="1" ht="30" customHeight="1" x14ac:dyDescent="0.25">
      <c r="A165" s="27">
        <v>159</v>
      </c>
      <c r="B165" s="10" t="s">
        <v>513</v>
      </c>
      <c r="C165" s="57" t="s">
        <v>514</v>
      </c>
      <c r="D165" s="57" t="s">
        <v>515</v>
      </c>
      <c r="E165" s="83" t="s">
        <v>516</v>
      </c>
      <c r="G165" s="27"/>
      <c r="H165" s="101" t="str">
        <f t="shared" si="2"/>
        <v>NECOMPLETAT</v>
      </c>
      <c r="I165" s="4" t="s">
        <v>3181</v>
      </c>
      <c r="J165" s="4" t="s">
        <v>3183</v>
      </c>
      <c r="K165" s="4" t="s">
        <v>3183</v>
      </c>
    </row>
    <row r="166" spans="1:11" s="4" customFormat="1" ht="45" customHeight="1" x14ac:dyDescent="0.25">
      <c r="A166" s="27">
        <v>160</v>
      </c>
      <c r="B166" s="10" t="s">
        <v>942</v>
      </c>
      <c r="C166" s="57" t="s">
        <v>943</v>
      </c>
      <c r="D166" s="57" t="s">
        <v>944</v>
      </c>
      <c r="E166" s="83" t="s">
        <v>945</v>
      </c>
      <c r="G166" s="27"/>
      <c r="H166" s="101" t="str">
        <f t="shared" si="2"/>
        <v>NECOMPLETAT</v>
      </c>
      <c r="I166" s="4" t="s">
        <v>3181</v>
      </c>
      <c r="J166" s="4" t="s">
        <v>3183</v>
      </c>
      <c r="K166" s="4" t="s">
        <v>3183</v>
      </c>
    </row>
    <row r="167" spans="1:11" s="4" customFormat="1" ht="30" customHeight="1" x14ac:dyDescent="0.25">
      <c r="A167" s="27">
        <v>161</v>
      </c>
      <c r="B167" s="10" t="s">
        <v>946</v>
      </c>
      <c r="C167" s="57" t="s">
        <v>517</v>
      </c>
      <c r="D167" s="57" t="s">
        <v>947</v>
      </c>
      <c r="E167" s="83" t="s">
        <v>948</v>
      </c>
      <c r="G167" s="27"/>
      <c r="H167" s="101" t="str">
        <f t="shared" si="2"/>
        <v>NECOMPLETAT</v>
      </c>
      <c r="I167" s="4" t="s">
        <v>3183</v>
      </c>
      <c r="J167" s="4" t="s">
        <v>3183</v>
      </c>
      <c r="K167" s="4" t="s">
        <v>3180</v>
      </c>
    </row>
    <row r="168" spans="1:11" s="4" customFormat="1" ht="45" customHeight="1" x14ac:dyDescent="0.25">
      <c r="A168" s="27">
        <v>162</v>
      </c>
      <c r="B168" s="10" t="s">
        <v>866</v>
      </c>
      <c r="C168" s="57" t="s">
        <v>867</v>
      </c>
      <c r="D168" s="57" t="s">
        <v>868</v>
      </c>
      <c r="E168" s="83" t="s">
        <v>869</v>
      </c>
      <c r="G168" s="27"/>
      <c r="H168" s="101" t="str">
        <f t="shared" si="2"/>
        <v>NECOMPLETAT</v>
      </c>
      <c r="I168" s="4" t="s">
        <v>3181</v>
      </c>
      <c r="J168" s="4" t="s">
        <v>3183</v>
      </c>
      <c r="K168" s="4" t="s">
        <v>3183</v>
      </c>
    </row>
    <row r="169" spans="1:11" s="4" customFormat="1" ht="30" customHeight="1" x14ac:dyDescent="0.25">
      <c r="A169" s="27">
        <v>163</v>
      </c>
      <c r="B169" s="10" t="s">
        <v>518</v>
      </c>
      <c r="C169" s="57" t="s">
        <v>519</v>
      </c>
      <c r="D169" s="57" t="s">
        <v>520</v>
      </c>
      <c r="E169" s="83" t="s">
        <v>521</v>
      </c>
      <c r="G169" s="27"/>
      <c r="H169" s="101" t="str">
        <f t="shared" si="2"/>
        <v>NECOMPLETAT</v>
      </c>
      <c r="I169" s="4" t="s">
        <v>3181</v>
      </c>
      <c r="J169" s="4" t="s">
        <v>3183</v>
      </c>
      <c r="K169" s="4" t="s">
        <v>3183</v>
      </c>
    </row>
    <row r="170" spans="1:11" s="4" customFormat="1" ht="30" customHeight="1" x14ac:dyDescent="0.25">
      <c r="A170" s="27">
        <v>164</v>
      </c>
      <c r="B170" s="10" t="s">
        <v>522</v>
      </c>
      <c r="C170" s="57" t="s">
        <v>520</v>
      </c>
      <c r="D170" s="57" t="s">
        <v>519</v>
      </c>
      <c r="E170" s="83" t="s">
        <v>521</v>
      </c>
      <c r="G170" s="27"/>
      <c r="H170" s="101" t="str">
        <f t="shared" si="2"/>
        <v>NECOMPLETAT</v>
      </c>
      <c r="I170" s="4" t="s">
        <v>3181</v>
      </c>
      <c r="J170" s="4" t="s">
        <v>3183</v>
      </c>
      <c r="K170" s="4" t="s">
        <v>3183</v>
      </c>
    </row>
    <row r="171" spans="1:11" s="4" customFormat="1" ht="30" customHeight="1" x14ac:dyDescent="0.25">
      <c r="A171" s="27">
        <v>165</v>
      </c>
      <c r="B171" s="10" t="s">
        <v>523</v>
      </c>
      <c r="C171" s="57" t="s">
        <v>524</v>
      </c>
      <c r="D171" s="57" t="s">
        <v>525</v>
      </c>
      <c r="E171" s="83" t="s">
        <v>526</v>
      </c>
      <c r="G171" s="27"/>
      <c r="H171" s="101" t="str">
        <f t="shared" si="2"/>
        <v>NECOMPLETAT</v>
      </c>
      <c r="I171" s="4" t="s">
        <v>3181</v>
      </c>
      <c r="J171" s="4" t="s">
        <v>3183</v>
      </c>
      <c r="K171" s="4" t="s">
        <v>3183</v>
      </c>
    </row>
    <row r="172" spans="1:11" s="4" customFormat="1" ht="59.25" customHeight="1" x14ac:dyDescent="0.25">
      <c r="A172" s="27">
        <v>166</v>
      </c>
      <c r="B172" s="10" t="s">
        <v>527</v>
      </c>
      <c r="C172" s="57" t="s">
        <v>861</v>
      </c>
      <c r="D172" s="57" t="s">
        <v>860</v>
      </c>
      <c r="E172" s="83" t="s">
        <v>859</v>
      </c>
      <c r="G172" s="27"/>
      <c r="H172" s="101" t="str">
        <f t="shared" si="2"/>
        <v>NECOMPLETAT</v>
      </c>
      <c r="I172" s="4" t="s">
        <v>3183</v>
      </c>
      <c r="J172" s="4" t="s">
        <v>3183</v>
      </c>
      <c r="K172" s="4" t="s">
        <v>3180</v>
      </c>
    </row>
    <row r="173" spans="1:11" s="4" customFormat="1" ht="182.25" customHeight="1" x14ac:dyDescent="0.25">
      <c r="A173" s="27">
        <v>167</v>
      </c>
      <c r="B173" s="12" t="s">
        <v>528</v>
      </c>
      <c r="C173" s="57" t="s">
        <v>529</v>
      </c>
      <c r="D173" s="57" t="s">
        <v>530</v>
      </c>
      <c r="E173" s="83" t="s">
        <v>531</v>
      </c>
      <c r="G173" s="27"/>
      <c r="H173" s="101" t="str">
        <f t="shared" si="2"/>
        <v>NECOMPLETAT</v>
      </c>
      <c r="I173" s="4" t="s">
        <v>3181</v>
      </c>
      <c r="J173" s="4" t="s">
        <v>3183</v>
      </c>
      <c r="K173" s="4" t="s">
        <v>3183</v>
      </c>
    </row>
    <row r="174" spans="1:11" s="4" customFormat="1" ht="179.25" customHeight="1" x14ac:dyDescent="0.25">
      <c r="A174" s="27">
        <v>168</v>
      </c>
      <c r="B174" s="12" t="s">
        <v>532</v>
      </c>
      <c r="C174" s="57" t="s">
        <v>529</v>
      </c>
      <c r="D174" s="57" t="s">
        <v>530</v>
      </c>
      <c r="E174" s="83" t="s">
        <v>531</v>
      </c>
      <c r="G174" s="27"/>
      <c r="H174" s="101" t="str">
        <f t="shared" si="2"/>
        <v>NECOMPLETAT</v>
      </c>
      <c r="I174" s="4" t="s">
        <v>3183</v>
      </c>
      <c r="J174" s="4" t="s">
        <v>3182</v>
      </c>
      <c r="K174" s="4" t="s">
        <v>3183</v>
      </c>
    </row>
    <row r="175" spans="1:11" s="4" customFormat="1" ht="92.25" customHeight="1" x14ac:dyDescent="0.25">
      <c r="A175" s="27">
        <v>169</v>
      </c>
      <c r="B175" s="12" t="s">
        <v>533</v>
      </c>
      <c r="C175" s="56" t="s">
        <v>534</v>
      </c>
      <c r="D175" s="57" t="s">
        <v>535</v>
      </c>
      <c r="E175" s="82" t="s">
        <v>536</v>
      </c>
      <c r="G175" s="27"/>
      <c r="H175" s="101" t="str">
        <f t="shared" si="2"/>
        <v>NECOMPLETAT</v>
      </c>
      <c r="I175" s="4" t="s">
        <v>3183</v>
      </c>
      <c r="J175" s="4" t="s">
        <v>3183</v>
      </c>
      <c r="K175" s="4" t="s">
        <v>3180</v>
      </c>
    </row>
    <row r="176" spans="1:11" s="4" customFormat="1" ht="165" x14ac:dyDescent="0.25">
      <c r="A176" s="27">
        <v>170</v>
      </c>
      <c r="B176" s="10" t="s">
        <v>1014</v>
      </c>
      <c r="C176" s="57" t="s">
        <v>949</v>
      </c>
      <c r="D176" s="57" t="s">
        <v>951</v>
      </c>
      <c r="E176" s="83" t="s">
        <v>950</v>
      </c>
      <c r="G176" s="27"/>
      <c r="H176" s="101" t="str">
        <f t="shared" si="2"/>
        <v>NECOMPLETAT</v>
      </c>
      <c r="I176" s="4" t="s">
        <v>3181</v>
      </c>
      <c r="J176" s="4" t="s">
        <v>3183</v>
      </c>
      <c r="K176" s="4" t="s">
        <v>3183</v>
      </c>
    </row>
    <row r="177" spans="1:11" s="4" customFormat="1" ht="30" customHeight="1" x14ac:dyDescent="0.25">
      <c r="A177" s="27">
        <v>171</v>
      </c>
      <c r="B177" s="10" t="s">
        <v>537</v>
      </c>
      <c r="C177" s="57" t="s">
        <v>538</v>
      </c>
      <c r="D177" s="57" t="s">
        <v>539</v>
      </c>
      <c r="E177" s="83" t="s">
        <v>540</v>
      </c>
      <c r="G177" s="27"/>
      <c r="H177" s="101" t="str">
        <f t="shared" si="2"/>
        <v>NECOMPLETAT</v>
      </c>
      <c r="I177" s="4" t="s">
        <v>3183</v>
      </c>
      <c r="J177" s="4" t="s">
        <v>3183</v>
      </c>
      <c r="K177" s="4" t="s">
        <v>3180</v>
      </c>
    </row>
    <row r="178" spans="1:11" s="4" customFormat="1" ht="45" customHeight="1" x14ac:dyDescent="0.25">
      <c r="A178" s="27">
        <v>172</v>
      </c>
      <c r="B178" s="10" t="s">
        <v>541</v>
      </c>
      <c r="C178" s="57" t="s">
        <v>542</v>
      </c>
      <c r="D178" s="57" t="s">
        <v>543</v>
      </c>
      <c r="E178" s="83" t="s">
        <v>544</v>
      </c>
      <c r="G178" s="27"/>
      <c r="H178" s="101" t="str">
        <f t="shared" si="2"/>
        <v>NECOMPLETAT</v>
      </c>
      <c r="I178" s="4" t="s">
        <v>3183</v>
      </c>
      <c r="J178" s="4" t="s">
        <v>3183</v>
      </c>
      <c r="K178" s="4" t="s">
        <v>3180</v>
      </c>
    </row>
    <row r="179" spans="1:11" s="4" customFormat="1" ht="60" customHeight="1" x14ac:dyDescent="0.25">
      <c r="A179" s="27">
        <v>173</v>
      </c>
      <c r="B179" s="10" t="s">
        <v>545</v>
      </c>
      <c r="C179" s="57" t="s">
        <v>546</v>
      </c>
      <c r="D179" s="57" t="s">
        <v>547</v>
      </c>
      <c r="E179" s="83" t="s">
        <v>548</v>
      </c>
      <c r="G179" s="27"/>
      <c r="H179" s="101" t="str">
        <f t="shared" si="2"/>
        <v>NECOMPLETAT</v>
      </c>
      <c r="I179" s="4" t="s">
        <v>3183</v>
      </c>
      <c r="J179" s="4" t="s">
        <v>3183</v>
      </c>
      <c r="K179" s="4" t="s">
        <v>3180</v>
      </c>
    </row>
    <row r="180" spans="1:11" s="4" customFormat="1" ht="70.5" customHeight="1" x14ac:dyDescent="0.25">
      <c r="A180" s="27">
        <v>174</v>
      </c>
      <c r="B180" s="12" t="s">
        <v>533</v>
      </c>
      <c r="C180" s="57" t="s">
        <v>534</v>
      </c>
      <c r="D180" s="57" t="s">
        <v>549</v>
      </c>
      <c r="E180" s="83" t="s">
        <v>550</v>
      </c>
      <c r="G180" s="27"/>
      <c r="H180" s="101" t="str">
        <f t="shared" si="2"/>
        <v>NECOMPLETAT</v>
      </c>
      <c r="I180" s="4" t="s">
        <v>3183</v>
      </c>
      <c r="J180" s="4" t="s">
        <v>3182</v>
      </c>
      <c r="K180" s="4" t="s">
        <v>3183</v>
      </c>
    </row>
    <row r="181" spans="1:11" s="4" customFormat="1" ht="75" customHeight="1" x14ac:dyDescent="0.25">
      <c r="A181" s="27">
        <v>175</v>
      </c>
      <c r="B181" s="10" t="s">
        <v>551</v>
      </c>
      <c r="C181" s="57" t="s">
        <v>862</v>
      </c>
      <c r="D181" s="57" t="s">
        <v>552</v>
      </c>
      <c r="E181" s="83" t="s">
        <v>553</v>
      </c>
      <c r="G181" s="27"/>
      <c r="H181" s="101" t="str">
        <f t="shared" si="2"/>
        <v>NECOMPLETAT</v>
      </c>
      <c r="I181" s="4" t="s">
        <v>3183</v>
      </c>
      <c r="J181" s="4" t="s">
        <v>3183</v>
      </c>
      <c r="K181" s="4" t="s">
        <v>3180</v>
      </c>
    </row>
    <row r="182" spans="1:11" s="4" customFormat="1" ht="75" x14ac:dyDescent="0.25">
      <c r="A182" s="27">
        <v>176</v>
      </c>
      <c r="B182" s="10" t="s">
        <v>890</v>
      </c>
      <c r="C182" s="57" t="s">
        <v>952</v>
      </c>
      <c r="D182" s="57" t="s">
        <v>953</v>
      </c>
      <c r="E182" s="83" t="s">
        <v>891</v>
      </c>
      <c r="G182" s="27"/>
      <c r="H182" s="101" t="str">
        <f t="shared" si="2"/>
        <v>NECOMPLETAT</v>
      </c>
      <c r="I182" s="4" t="s">
        <v>3181</v>
      </c>
      <c r="J182" s="4" t="s">
        <v>3183</v>
      </c>
      <c r="K182" s="4" t="s">
        <v>3183</v>
      </c>
    </row>
    <row r="183" spans="1:11" s="4" customFormat="1" ht="60" x14ac:dyDescent="0.25">
      <c r="A183" s="27">
        <v>177</v>
      </c>
      <c r="B183" s="10" t="s">
        <v>554</v>
      </c>
      <c r="C183" s="57" t="s">
        <v>555</v>
      </c>
      <c r="D183" s="57" t="s">
        <v>556</v>
      </c>
      <c r="E183" s="83" t="s">
        <v>557</v>
      </c>
      <c r="G183" s="27"/>
      <c r="H183" s="101" t="str">
        <f t="shared" si="2"/>
        <v>NECOMPLETAT</v>
      </c>
      <c r="I183" s="4" t="s">
        <v>3181</v>
      </c>
      <c r="J183" s="4" t="s">
        <v>3183</v>
      </c>
      <c r="K183" s="4" t="s">
        <v>3183</v>
      </c>
    </row>
    <row r="184" spans="1:11" s="4" customFormat="1" ht="45" customHeight="1" x14ac:dyDescent="0.25">
      <c r="A184" s="27">
        <v>178</v>
      </c>
      <c r="B184" s="10" t="s">
        <v>558</v>
      </c>
      <c r="C184" s="57" t="s">
        <v>559</v>
      </c>
      <c r="D184" s="57" t="s">
        <v>560</v>
      </c>
      <c r="E184" s="83" t="s">
        <v>561</v>
      </c>
      <c r="G184" s="27"/>
      <c r="H184" s="101" t="str">
        <f t="shared" si="2"/>
        <v>NECOMPLETAT</v>
      </c>
      <c r="I184" s="4" t="s">
        <v>3183</v>
      </c>
      <c r="J184" s="4" t="s">
        <v>3183</v>
      </c>
      <c r="K184" s="4" t="s">
        <v>3180</v>
      </c>
    </row>
    <row r="185" spans="1:11" s="4" customFormat="1" ht="60" customHeight="1" x14ac:dyDescent="0.25">
      <c r="A185" s="27">
        <v>179</v>
      </c>
      <c r="B185" s="10" t="s">
        <v>562</v>
      </c>
      <c r="C185" s="57" t="s">
        <v>563</v>
      </c>
      <c r="D185" s="57" t="s">
        <v>564</v>
      </c>
      <c r="E185" s="82" t="s">
        <v>565</v>
      </c>
      <c r="G185" s="27"/>
      <c r="H185" s="101" t="str">
        <f t="shared" si="2"/>
        <v>NECOMPLETAT</v>
      </c>
      <c r="I185" s="4" t="s">
        <v>3183</v>
      </c>
      <c r="J185" s="4" t="s">
        <v>3183</v>
      </c>
      <c r="K185" s="4" t="s">
        <v>3180</v>
      </c>
    </row>
    <row r="186" spans="1:11" s="4" customFormat="1" ht="60" x14ac:dyDescent="0.25">
      <c r="A186" s="27">
        <v>180</v>
      </c>
      <c r="B186" s="10" t="s">
        <v>566</v>
      </c>
      <c r="C186" s="57" t="s">
        <v>954</v>
      </c>
      <c r="D186" s="57" t="s">
        <v>955</v>
      </c>
      <c r="E186" s="83" t="s">
        <v>567</v>
      </c>
      <c r="G186" s="27"/>
      <c r="H186" s="101" t="str">
        <f t="shared" si="2"/>
        <v>NECOMPLETAT</v>
      </c>
      <c r="I186" s="4" t="s">
        <v>3183</v>
      </c>
      <c r="J186" s="4" t="s">
        <v>3182</v>
      </c>
      <c r="K186" s="4" t="s">
        <v>3183</v>
      </c>
    </row>
    <row r="187" spans="1:11" s="4" customFormat="1" ht="60" customHeight="1" x14ac:dyDescent="0.25">
      <c r="A187" s="27">
        <v>181</v>
      </c>
      <c r="B187" s="10" t="s">
        <v>870</v>
      </c>
      <c r="C187" s="57" t="s">
        <v>568</v>
      </c>
      <c r="D187" s="57" t="s">
        <v>956</v>
      </c>
      <c r="E187" s="83" t="s">
        <v>569</v>
      </c>
      <c r="G187" s="27"/>
      <c r="H187" s="101" t="str">
        <f t="shared" si="2"/>
        <v>NECOMPLETAT</v>
      </c>
      <c r="I187" s="4" t="s">
        <v>3181</v>
      </c>
      <c r="J187" s="4" t="s">
        <v>3183</v>
      </c>
      <c r="K187" s="4" t="s">
        <v>3183</v>
      </c>
    </row>
    <row r="188" spans="1:11" s="4" customFormat="1" ht="45" customHeight="1" x14ac:dyDescent="0.25">
      <c r="A188" s="27">
        <v>182</v>
      </c>
      <c r="B188" s="10" t="s">
        <v>570</v>
      </c>
      <c r="C188" s="57" t="s">
        <v>571</v>
      </c>
      <c r="D188" s="57" t="s">
        <v>572</v>
      </c>
      <c r="E188" s="83" t="s">
        <v>573</v>
      </c>
      <c r="G188" s="27"/>
      <c r="H188" s="101" t="str">
        <f t="shared" si="2"/>
        <v>NECOMPLETAT</v>
      </c>
      <c r="I188" s="4" t="s">
        <v>3181</v>
      </c>
      <c r="J188" s="4" t="s">
        <v>3183</v>
      </c>
      <c r="K188" s="4" t="s">
        <v>3183</v>
      </c>
    </row>
    <row r="189" spans="1:11" s="4" customFormat="1" ht="30" customHeight="1" x14ac:dyDescent="0.25">
      <c r="A189" s="27">
        <v>183</v>
      </c>
      <c r="B189" s="11" t="s">
        <v>574</v>
      </c>
      <c r="C189" s="56" t="s">
        <v>575</v>
      </c>
      <c r="D189" s="56" t="s">
        <v>576</v>
      </c>
      <c r="E189" s="82" t="s">
        <v>577</v>
      </c>
      <c r="G189" s="27"/>
      <c r="H189" s="101" t="str">
        <f t="shared" si="2"/>
        <v>NECOMPLETAT</v>
      </c>
      <c r="I189" s="4" t="s">
        <v>3181</v>
      </c>
      <c r="J189" s="4" t="s">
        <v>3183</v>
      </c>
      <c r="K189" s="4" t="s">
        <v>3183</v>
      </c>
    </row>
    <row r="190" spans="1:11" s="4" customFormat="1" ht="20.25" customHeight="1" x14ac:dyDescent="0.25">
      <c r="A190" s="27">
        <v>184</v>
      </c>
      <c r="B190" s="10" t="s">
        <v>578</v>
      </c>
      <c r="C190" s="57" t="s">
        <v>579</v>
      </c>
      <c r="D190" s="57" t="s">
        <v>580</v>
      </c>
      <c r="E190" s="83" t="s">
        <v>581</v>
      </c>
      <c r="G190" s="27"/>
      <c r="H190" s="101" t="str">
        <f t="shared" si="2"/>
        <v>NECOMPLETAT</v>
      </c>
      <c r="I190" s="4" t="s">
        <v>3181</v>
      </c>
      <c r="J190" s="4" t="s">
        <v>3183</v>
      </c>
      <c r="K190" s="4" t="s">
        <v>3183</v>
      </c>
    </row>
    <row r="191" spans="1:11" s="4" customFormat="1" ht="20.25" customHeight="1" x14ac:dyDescent="0.25">
      <c r="A191" s="27">
        <v>185</v>
      </c>
      <c r="B191" s="10" t="s">
        <v>582</v>
      </c>
      <c r="C191" s="57" t="s">
        <v>580</v>
      </c>
      <c r="D191" s="57" t="s">
        <v>583</v>
      </c>
      <c r="E191" s="83" t="s">
        <v>584</v>
      </c>
      <c r="G191" s="27"/>
      <c r="H191" s="101" t="str">
        <f t="shared" si="2"/>
        <v>NECOMPLETAT</v>
      </c>
      <c r="I191" s="4" t="s">
        <v>3181</v>
      </c>
      <c r="J191" s="4" t="s">
        <v>3183</v>
      </c>
      <c r="K191" s="4" t="s">
        <v>3183</v>
      </c>
    </row>
    <row r="192" spans="1:11" s="4" customFormat="1" ht="45" customHeight="1" x14ac:dyDescent="0.25">
      <c r="A192" s="27">
        <v>186</v>
      </c>
      <c r="B192" s="11" t="s">
        <v>585</v>
      </c>
      <c r="C192" s="56" t="s">
        <v>586</v>
      </c>
      <c r="D192" s="56" t="s">
        <v>587</v>
      </c>
      <c r="E192" s="83" t="s">
        <v>588</v>
      </c>
      <c r="G192" s="27"/>
      <c r="H192" s="101" t="str">
        <f t="shared" si="2"/>
        <v>NECOMPLETAT</v>
      </c>
      <c r="I192" s="4" t="s">
        <v>3183</v>
      </c>
      <c r="J192" s="4" t="s">
        <v>3183</v>
      </c>
      <c r="K192" s="4" t="s">
        <v>3180</v>
      </c>
    </row>
    <row r="193" spans="1:11" s="4" customFormat="1" ht="45" customHeight="1" x14ac:dyDescent="0.25">
      <c r="A193" s="27">
        <v>187</v>
      </c>
      <c r="B193" s="10" t="s">
        <v>589</v>
      </c>
      <c r="C193" s="57" t="s">
        <v>590</v>
      </c>
      <c r="D193" s="57" t="s">
        <v>591</v>
      </c>
      <c r="E193" s="83" t="s">
        <v>592</v>
      </c>
      <c r="G193" s="27"/>
      <c r="H193" s="101" t="str">
        <f t="shared" si="2"/>
        <v>NECOMPLETAT</v>
      </c>
      <c r="I193" s="4" t="s">
        <v>3183</v>
      </c>
      <c r="J193" s="4" t="s">
        <v>3182</v>
      </c>
      <c r="K193" s="4" t="s">
        <v>3183</v>
      </c>
    </row>
    <row r="194" spans="1:11" s="4" customFormat="1" ht="75" customHeight="1" x14ac:dyDescent="0.25">
      <c r="A194" s="27">
        <v>188</v>
      </c>
      <c r="B194" s="10" t="s">
        <v>856</v>
      </c>
      <c r="C194" s="57" t="s">
        <v>593</v>
      </c>
      <c r="D194" s="57" t="s">
        <v>594</v>
      </c>
      <c r="E194" s="83" t="s">
        <v>595</v>
      </c>
      <c r="G194" s="27"/>
      <c r="H194" s="101" t="str">
        <f t="shared" si="2"/>
        <v>NECOMPLETAT</v>
      </c>
      <c r="I194" s="4" t="s">
        <v>3181</v>
      </c>
      <c r="J194" s="4" t="s">
        <v>3183</v>
      </c>
      <c r="K194" s="4" t="s">
        <v>3183</v>
      </c>
    </row>
    <row r="195" spans="1:11" s="4" customFormat="1" ht="75" customHeight="1" x14ac:dyDescent="0.25">
      <c r="A195" s="27">
        <v>189</v>
      </c>
      <c r="B195" s="10" t="s">
        <v>878</v>
      </c>
      <c r="C195" s="57" t="s">
        <v>879</v>
      </c>
      <c r="D195" s="57" t="s">
        <v>880</v>
      </c>
      <c r="E195" s="83" t="s">
        <v>881</v>
      </c>
      <c r="G195" s="27"/>
      <c r="H195" s="101" t="str">
        <f t="shared" si="2"/>
        <v>NECOMPLETAT</v>
      </c>
      <c r="I195" s="4" t="s">
        <v>3181</v>
      </c>
      <c r="J195" s="4" t="s">
        <v>3183</v>
      </c>
      <c r="K195" s="4" t="s">
        <v>3183</v>
      </c>
    </row>
    <row r="196" spans="1:11" s="4" customFormat="1" ht="45" customHeight="1" x14ac:dyDescent="0.25">
      <c r="A196" s="27">
        <v>190</v>
      </c>
      <c r="B196" s="10" t="s">
        <v>1015</v>
      </c>
      <c r="C196" s="57" t="s">
        <v>596</v>
      </c>
      <c r="D196" s="57" t="s">
        <v>597</v>
      </c>
      <c r="E196" s="83" t="s">
        <v>598</v>
      </c>
      <c r="G196" s="27"/>
      <c r="H196" s="101" t="str">
        <f t="shared" si="2"/>
        <v>NECOMPLETAT</v>
      </c>
      <c r="I196" s="4" t="s">
        <v>3181</v>
      </c>
      <c r="J196" s="4" t="s">
        <v>3183</v>
      </c>
      <c r="K196" s="4" t="s">
        <v>3183</v>
      </c>
    </row>
    <row r="197" spans="1:11" s="4" customFormat="1" ht="60" customHeight="1" x14ac:dyDescent="0.25">
      <c r="A197" s="27">
        <v>191</v>
      </c>
      <c r="B197" s="10" t="s">
        <v>1016</v>
      </c>
      <c r="C197" s="57" t="s">
        <v>599</v>
      </c>
      <c r="D197" s="57" t="s">
        <v>1017</v>
      </c>
      <c r="E197" s="83" t="s">
        <v>1018</v>
      </c>
      <c r="G197" s="27"/>
      <c r="H197" s="101" t="str">
        <f t="shared" si="2"/>
        <v>NECOMPLETAT</v>
      </c>
      <c r="I197" s="4" t="s">
        <v>3181</v>
      </c>
      <c r="J197" s="4" t="s">
        <v>3183</v>
      </c>
      <c r="K197" s="4" t="s">
        <v>3183</v>
      </c>
    </row>
    <row r="198" spans="1:11" s="4" customFormat="1" ht="20.25" customHeight="1" x14ac:dyDescent="0.25">
      <c r="A198" s="27">
        <v>192</v>
      </c>
      <c r="B198" s="10" t="s">
        <v>600</v>
      </c>
      <c r="C198" s="57" t="s">
        <v>601</v>
      </c>
      <c r="D198" s="57" t="s">
        <v>602</v>
      </c>
      <c r="E198" s="83" t="s">
        <v>603</v>
      </c>
      <c r="G198" s="27"/>
      <c r="H198" s="101" t="str">
        <f t="shared" si="2"/>
        <v>NECOMPLETAT</v>
      </c>
      <c r="I198" s="4" t="s">
        <v>3181</v>
      </c>
      <c r="J198" s="4" t="s">
        <v>3183</v>
      </c>
      <c r="K198" s="4" t="s">
        <v>3183</v>
      </c>
    </row>
    <row r="199" spans="1:11" s="4" customFormat="1" ht="90" customHeight="1" x14ac:dyDescent="0.25">
      <c r="A199" s="27">
        <v>193</v>
      </c>
      <c r="B199" s="10" t="s">
        <v>957</v>
      </c>
      <c r="C199" s="57" t="s">
        <v>958</v>
      </c>
      <c r="D199" s="57" t="s">
        <v>959</v>
      </c>
      <c r="E199" s="83" t="s">
        <v>960</v>
      </c>
      <c r="G199" s="27"/>
      <c r="H199" s="101" t="str">
        <f t="shared" si="2"/>
        <v>NECOMPLETAT</v>
      </c>
      <c r="I199" s="4" t="s">
        <v>3181</v>
      </c>
      <c r="J199" s="4" t="s">
        <v>3183</v>
      </c>
      <c r="K199" s="4" t="s">
        <v>3183</v>
      </c>
    </row>
    <row r="200" spans="1:11" s="4" customFormat="1" ht="45" customHeight="1" x14ac:dyDescent="0.25">
      <c r="A200" s="27">
        <v>194</v>
      </c>
      <c r="B200" s="10" t="s">
        <v>604</v>
      </c>
      <c r="C200" s="57" t="s">
        <v>605</v>
      </c>
      <c r="D200" s="57" t="s">
        <v>606</v>
      </c>
      <c r="E200" s="83" t="s">
        <v>607</v>
      </c>
      <c r="G200" s="27"/>
      <c r="H200" s="101" t="str">
        <f t="shared" ref="H200:H263" si="3">IF(G200=0,"NECOMPLETAT",IF(OR(G200=I200,G200=J200,G200=K200),"CORECT","GRESIT"))</f>
        <v>NECOMPLETAT</v>
      </c>
      <c r="I200" s="4" t="s">
        <v>3183</v>
      </c>
      <c r="J200" s="4" t="s">
        <v>3182</v>
      </c>
      <c r="K200" s="4" t="s">
        <v>3183</v>
      </c>
    </row>
    <row r="201" spans="1:11" s="4" customFormat="1" ht="30" customHeight="1" x14ac:dyDescent="0.25">
      <c r="A201" s="27">
        <v>195</v>
      </c>
      <c r="B201" s="10" t="s">
        <v>608</v>
      </c>
      <c r="C201" s="57" t="s">
        <v>609</v>
      </c>
      <c r="D201" s="57" t="s">
        <v>610</v>
      </c>
      <c r="E201" s="83" t="s">
        <v>611</v>
      </c>
      <c r="G201" s="27"/>
      <c r="H201" s="101" t="str">
        <f t="shared" si="3"/>
        <v>NECOMPLETAT</v>
      </c>
      <c r="I201" s="4" t="s">
        <v>3181</v>
      </c>
      <c r="J201" s="4" t="s">
        <v>3183</v>
      </c>
      <c r="K201" s="4" t="s">
        <v>3183</v>
      </c>
    </row>
    <row r="202" spans="1:11" s="4" customFormat="1" ht="30" customHeight="1" x14ac:dyDescent="0.25">
      <c r="A202" s="27">
        <v>196</v>
      </c>
      <c r="B202" s="10" t="s">
        <v>863</v>
      </c>
      <c r="C202" s="57" t="s">
        <v>612</v>
      </c>
      <c r="D202" s="57" t="s">
        <v>613</v>
      </c>
      <c r="E202" s="83" t="s">
        <v>614</v>
      </c>
      <c r="G202" s="27"/>
      <c r="H202" s="101" t="str">
        <f t="shared" si="3"/>
        <v>NECOMPLETAT</v>
      </c>
      <c r="I202" s="4" t="s">
        <v>3183</v>
      </c>
      <c r="J202" s="4" t="s">
        <v>3182</v>
      </c>
      <c r="K202" s="4" t="s">
        <v>3183</v>
      </c>
    </row>
    <row r="203" spans="1:11" s="4" customFormat="1" ht="105" customHeight="1" x14ac:dyDescent="0.25">
      <c r="A203" s="27">
        <v>197</v>
      </c>
      <c r="B203" s="10" t="s">
        <v>963</v>
      </c>
      <c r="C203" s="57" t="s">
        <v>961</v>
      </c>
      <c r="D203" s="57" t="s">
        <v>962</v>
      </c>
      <c r="E203" s="83" t="s">
        <v>615</v>
      </c>
      <c r="G203" s="27"/>
      <c r="H203" s="101" t="str">
        <f t="shared" si="3"/>
        <v>NECOMPLETAT</v>
      </c>
      <c r="I203" s="4" t="s">
        <v>3183</v>
      </c>
      <c r="J203" s="4" t="s">
        <v>3182</v>
      </c>
      <c r="K203" s="4" t="s">
        <v>3183</v>
      </c>
    </row>
    <row r="204" spans="1:11" s="4" customFormat="1" ht="90" customHeight="1" x14ac:dyDescent="0.25">
      <c r="A204" s="27">
        <v>198</v>
      </c>
      <c r="B204" s="10" t="s">
        <v>616</v>
      </c>
      <c r="C204" s="57" t="s">
        <v>617</v>
      </c>
      <c r="D204" s="57" t="s">
        <v>618</v>
      </c>
      <c r="E204" s="83" t="s">
        <v>619</v>
      </c>
      <c r="G204" s="27"/>
      <c r="H204" s="101" t="str">
        <f t="shared" si="3"/>
        <v>NECOMPLETAT</v>
      </c>
      <c r="I204" s="4" t="s">
        <v>3183</v>
      </c>
      <c r="J204" s="4" t="s">
        <v>3182</v>
      </c>
      <c r="K204" s="4" t="s">
        <v>3183</v>
      </c>
    </row>
    <row r="205" spans="1:11" s="4" customFormat="1" ht="45" customHeight="1" x14ac:dyDescent="0.25">
      <c r="A205" s="27">
        <v>199</v>
      </c>
      <c r="B205" s="10" t="s">
        <v>964</v>
      </c>
      <c r="C205" s="57" t="s">
        <v>965</v>
      </c>
      <c r="D205" s="57" t="s">
        <v>966</v>
      </c>
      <c r="E205" s="83" t="s">
        <v>620</v>
      </c>
      <c r="G205" s="27"/>
      <c r="H205" s="101" t="str">
        <f t="shared" si="3"/>
        <v>NECOMPLETAT</v>
      </c>
      <c r="I205" s="4" t="s">
        <v>3181</v>
      </c>
      <c r="J205" s="4" t="s">
        <v>3183</v>
      </c>
      <c r="K205" s="4" t="s">
        <v>3183</v>
      </c>
    </row>
    <row r="206" spans="1:11" s="4" customFormat="1" ht="45" customHeight="1" x14ac:dyDescent="0.25">
      <c r="A206" s="27">
        <v>200</v>
      </c>
      <c r="B206" s="10" t="s">
        <v>621</v>
      </c>
      <c r="C206" s="56" t="s">
        <v>622</v>
      </c>
      <c r="D206" s="56" t="s">
        <v>623</v>
      </c>
      <c r="E206" s="82" t="s">
        <v>624</v>
      </c>
      <c r="G206" s="27"/>
      <c r="H206" s="101" t="str">
        <f t="shared" si="3"/>
        <v>NECOMPLETAT</v>
      </c>
      <c r="I206" s="4" t="s">
        <v>3183</v>
      </c>
      <c r="J206" s="4" t="s">
        <v>3183</v>
      </c>
      <c r="K206" s="4" t="s">
        <v>3180</v>
      </c>
    </row>
    <row r="207" spans="1:11" s="4" customFormat="1" ht="45" customHeight="1" x14ac:dyDescent="0.25">
      <c r="A207" s="27">
        <v>201</v>
      </c>
      <c r="B207" s="10" t="s">
        <v>625</v>
      </c>
      <c r="C207" s="56" t="s">
        <v>626</v>
      </c>
      <c r="D207" s="56" t="s">
        <v>627</v>
      </c>
      <c r="E207" s="82" t="s">
        <v>628</v>
      </c>
      <c r="G207" s="27"/>
      <c r="H207" s="101" t="str">
        <f t="shared" si="3"/>
        <v>NECOMPLETAT</v>
      </c>
      <c r="I207" s="4" t="s">
        <v>3183</v>
      </c>
      <c r="J207" s="4" t="s">
        <v>3183</v>
      </c>
      <c r="K207" s="4" t="s">
        <v>3180</v>
      </c>
    </row>
    <row r="208" spans="1:11" s="4" customFormat="1" ht="45" customHeight="1" x14ac:dyDescent="0.25">
      <c r="A208" s="27">
        <v>202</v>
      </c>
      <c r="B208" s="11" t="s">
        <v>629</v>
      </c>
      <c r="C208" s="56" t="s">
        <v>630</v>
      </c>
      <c r="D208" s="56" t="s">
        <v>631</v>
      </c>
      <c r="E208" s="82" t="s">
        <v>632</v>
      </c>
      <c r="G208" s="27"/>
      <c r="H208" s="101" t="str">
        <f t="shared" si="3"/>
        <v>NECOMPLETAT</v>
      </c>
      <c r="I208" s="4" t="s">
        <v>3181</v>
      </c>
      <c r="J208" s="4" t="s">
        <v>3183</v>
      </c>
      <c r="K208" s="4" t="s">
        <v>3183</v>
      </c>
    </row>
    <row r="209" spans="1:13" s="4" customFormat="1" ht="45" customHeight="1" x14ac:dyDescent="0.25">
      <c r="A209" s="27">
        <v>203</v>
      </c>
      <c r="B209" s="10" t="s">
        <v>633</v>
      </c>
      <c r="C209" s="57" t="s">
        <v>634</v>
      </c>
      <c r="D209" s="57" t="s">
        <v>635</v>
      </c>
      <c r="E209" s="83" t="s">
        <v>636</v>
      </c>
      <c r="G209" s="27"/>
      <c r="H209" s="101" t="str">
        <f t="shared" si="3"/>
        <v>NECOMPLETAT</v>
      </c>
      <c r="I209" s="4" t="s">
        <v>3183</v>
      </c>
      <c r="J209" s="4" t="s">
        <v>3182</v>
      </c>
      <c r="K209" s="4" t="s">
        <v>3183</v>
      </c>
    </row>
    <row r="210" spans="1:13" s="4" customFormat="1" ht="45" customHeight="1" x14ac:dyDescent="0.25">
      <c r="A210" s="27">
        <v>204</v>
      </c>
      <c r="B210" s="10" t="s">
        <v>967</v>
      </c>
      <c r="C210" s="57" t="s">
        <v>968</v>
      </c>
      <c r="D210" s="57" t="s">
        <v>969</v>
      </c>
      <c r="E210" s="83" t="s">
        <v>1038</v>
      </c>
      <c r="G210" s="27"/>
      <c r="H210" s="101" t="str">
        <f t="shared" si="3"/>
        <v>NECOMPLETAT</v>
      </c>
      <c r="I210" s="4" t="s">
        <v>3183</v>
      </c>
      <c r="J210" s="4" t="s">
        <v>3183</v>
      </c>
      <c r="K210" s="4" t="s">
        <v>3180</v>
      </c>
    </row>
    <row r="211" spans="1:13" s="4" customFormat="1" ht="30" customHeight="1" x14ac:dyDescent="0.25">
      <c r="A211" s="27">
        <v>205</v>
      </c>
      <c r="B211" s="11" t="s">
        <v>637</v>
      </c>
      <c r="C211" s="57" t="s">
        <v>638</v>
      </c>
      <c r="D211" s="56" t="s">
        <v>639</v>
      </c>
      <c r="E211" s="82" t="s">
        <v>640</v>
      </c>
      <c r="G211" s="27"/>
      <c r="H211" s="101" t="str">
        <f t="shared" si="3"/>
        <v>NECOMPLETAT</v>
      </c>
      <c r="I211" s="4" t="s">
        <v>3183</v>
      </c>
      <c r="J211" s="4" t="s">
        <v>3182</v>
      </c>
      <c r="K211" s="4" t="s">
        <v>3183</v>
      </c>
    </row>
    <row r="212" spans="1:13" s="4" customFormat="1" ht="30" customHeight="1" x14ac:dyDescent="0.25">
      <c r="A212" s="27">
        <v>206</v>
      </c>
      <c r="B212" s="11" t="s">
        <v>641</v>
      </c>
      <c r="C212" s="57" t="s">
        <v>642</v>
      </c>
      <c r="D212" s="57" t="s">
        <v>643</v>
      </c>
      <c r="E212" s="82" t="s">
        <v>644</v>
      </c>
      <c r="G212" s="27"/>
      <c r="H212" s="101" t="str">
        <f t="shared" si="3"/>
        <v>NECOMPLETAT</v>
      </c>
      <c r="I212" s="4" t="s">
        <v>3181</v>
      </c>
      <c r="J212" s="4" t="s">
        <v>3183</v>
      </c>
      <c r="K212" s="4" t="s">
        <v>3183</v>
      </c>
    </row>
    <row r="213" spans="1:13" s="4" customFormat="1" ht="45" customHeight="1" x14ac:dyDescent="0.25">
      <c r="A213" s="27">
        <v>207</v>
      </c>
      <c r="B213" s="10" t="s">
        <v>894</v>
      </c>
      <c r="C213" s="57" t="s">
        <v>423</v>
      </c>
      <c r="D213" s="57" t="s">
        <v>847</v>
      </c>
      <c r="E213" s="83" t="s">
        <v>848</v>
      </c>
      <c r="G213" s="27"/>
      <c r="H213" s="101" t="str">
        <f t="shared" si="3"/>
        <v>NECOMPLETAT</v>
      </c>
      <c r="I213" s="4" t="s">
        <v>3181</v>
      </c>
      <c r="J213" s="4" t="s">
        <v>3183</v>
      </c>
      <c r="K213" s="4" t="s">
        <v>3183</v>
      </c>
    </row>
    <row r="214" spans="1:13" s="4" customFormat="1" ht="45" customHeight="1" x14ac:dyDescent="0.25">
      <c r="A214" s="27">
        <v>208</v>
      </c>
      <c r="B214" s="10" t="s">
        <v>645</v>
      </c>
      <c r="C214" s="56" t="s">
        <v>646</v>
      </c>
      <c r="D214" s="56" t="s">
        <v>647</v>
      </c>
      <c r="E214" s="82" t="s">
        <v>648</v>
      </c>
      <c r="G214" s="27"/>
      <c r="H214" s="101" t="str">
        <f t="shared" si="3"/>
        <v>NECOMPLETAT</v>
      </c>
      <c r="I214" s="4" t="s">
        <v>3181</v>
      </c>
      <c r="J214" s="4" t="s">
        <v>3183</v>
      </c>
      <c r="K214" s="4" t="s">
        <v>3183</v>
      </c>
    </row>
    <row r="215" spans="1:13" s="4" customFormat="1" ht="45" customHeight="1" x14ac:dyDescent="0.25">
      <c r="A215" s="27">
        <v>209</v>
      </c>
      <c r="B215" s="10" t="s">
        <v>649</v>
      </c>
      <c r="C215" s="57" t="s">
        <v>650</v>
      </c>
      <c r="D215" s="56" t="s">
        <v>651</v>
      </c>
      <c r="E215" s="83" t="s">
        <v>652</v>
      </c>
      <c r="G215" s="27"/>
      <c r="H215" s="101" t="str">
        <f t="shared" si="3"/>
        <v>NECOMPLETAT</v>
      </c>
      <c r="I215" s="4" t="s">
        <v>3183</v>
      </c>
      <c r="J215" s="4" t="s">
        <v>3183</v>
      </c>
      <c r="K215" s="4" t="s">
        <v>3180</v>
      </c>
    </row>
    <row r="216" spans="1:13" s="4" customFormat="1" ht="45" x14ac:dyDescent="0.25">
      <c r="A216" s="27">
        <v>210</v>
      </c>
      <c r="B216" s="10" t="s">
        <v>653</v>
      </c>
      <c r="C216" s="57" t="s">
        <v>654</v>
      </c>
      <c r="D216" s="57" t="s">
        <v>655</v>
      </c>
      <c r="E216" s="83" t="s">
        <v>889</v>
      </c>
      <c r="G216" s="27"/>
      <c r="H216" s="101" t="str">
        <f t="shared" si="3"/>
        <v>NECOMPLETAT</v>
      </c>
      <c r="I216" s="4" t="s">
        <v>3183</v>
      </c>
      <c r="J216" s="4" t="s">
        <v>3183</v>
      </c>
      <c r="K216" s="4" t="s">
        <v>3180</v>
      </c>
    </row>
    <row r="217" spans="1:13" s="4" customFormat="1" ht="45" customHeight="1" x14ac:dyDescent="0.25">
      <c r="A217" s="27">
        <v>211</v>
      </c>
      <c r="B217" s="11" t="s">
        <v>656</v>
      </c>
      <c r="C217" s="56" t="s">
        <v>657</v>
      </c>
      <c r="D217" s="56" t="s">
        <v>658</v>
      </c>
      <c r="E217" s="82" t="s">
        <v>659</v>
      </c>
      <c r="G217" s="27"/>
      <c r="H217" s="101" t="str">
        <f t="shared" si="3"/>
        <v>NECOMPLETAT</v>
      </c>
      <c r="I217" s="4" t="s">
        <v>3183</v>
      </c>
      <c r="J217" s="4" t="s">
        <v>3182</v>
      </c>
      <c r="K217" s="4" t="s">
        <v>3183</v>
      </c>
    </row>
    <row r="218" spans="1:13" s="4" customFormat="1" ht="30" customHeight="1" x14ac:dyDescent="0.25">
      <c r="A218" s="27">
        <v>212</v>
      </c>
      <c r="B218" s="11" t="s">
        <v>660</v>
      </c>
      <c r="C218" s="56" t="s">
        <v>661</v>
      </c>
      <c r="D218" s="57" t="s">
        <v>662</v>
      </c>
      <c r="E218" s="83" t="s">
        <v>663</v>
      </c>
      <c r="G218" s="27"/>
      <c r="H218" s="101" t="str">
        <f t="shared" si="3"/>
        <v>NECOMPLETAT</v>
      </c>
      <c r="I218" s="4" t="s">
        <v>3181</v>
      </c>
      <c r="J218" s="4" t="s">
        <v>3183</v>
      </c>
      <c r="K218" s="4" t="s">
        <v>3183</v>
      </c>
    </row>
    <row r="219" spans="1:13" s="4" customFormat="1" ht="45" customHeight="1" x14ac:dyDescent="0.25">
      <c r="A219" s="27">
        <v>213</v>
      </c>
      <c r="B219" s="10" t="s">
        <v>664</v>
      </c>
      <c r="C219" s="57" t="s">
        <v>665</v>
      </c>
      <c r="D219" s="57" t="s">
        <v>666</v>
      </c>
      <c r="E219" s="83" t="s">
        <v>667</v>
      </c>
      <c r="G219" s="27"/>
      <c r="H219" s="101" t="str">
        <f t="shared" si="3"/>
        <v>NECOMPLETAT</v>
      </c>
      <c r="I219" s="4" t="s">
        <v>3181</v>
      </c>
      <c r="J219" s="4" t="s">
        <v>3183</v>
      </c>
      <c r="K219" s="4" t="s">
        <v>3183</v>
      </c>
    </row>
    <row r="220" spans="1:13" s="4" customFormat="1" ht="45" customHeight="1" x14ac:dyDescent="0.25">
      <c r="A220" s="27">
        <v>214</v>
      </c>
      <c r="B220" s="10" t="s">
        <v>668</v>
      </c>
      <c r="C220" s="57" t="s">
        <v>669</v>
      </c>
      <c r="D220" s="57" t="s">
        <v>970</v>
      </c>
      <c r="E220" s="82" t="s">
        <v>670</v>
      </c>
      <c r="G220" s="27"/>
      <c r="H220" s="101" t="str">
        <f t="shared" si="3"/>
        <v>NECOMPLETAT</v>
      </c>
      <c r="I220" s="4" t="s">
        <v>3183</v>
      </c>
      <c r="J220" s="4" t="s">
        <v>3182</v>
      </c>
      <c r="K220" s="4" t="s">
        <v>3183</v>
      </c>
    </row>
    <row r="221" spans="1:13" s="4" customFormat="1" ht="30" customHeight="1" x14ac:dyDescent="0.25">
      <c r="A221" s="27">
        <v>215</v>
      </c>
      <c r="B221" s="11" t="s">
        <v>671</v>
      </c>
      <c r="C221" s="57" t="s">
        <v>672</v>
      </c>
      <c r="D221" s="57" t="s">
        <v>673</v>
      </c>
      <c r="E221" s="82" t="s">
        <v>674</v>
      </c>
      <c r="G221" s="27"/>
      <c r="H221" s="101" t="str">
        <f t="shared" si="3"/>
        <v>NECOMPLETAT</v>
      </c>
      <c r="I221" s="4" t="s">
        <v>3183</v>
      </c>
      <c r="J221" s="4" t="s">
        <v>3182</v>
      </c>
      <c r="K221" s="4" t="s">
        <v>3183</v>
      </c>
    </row>
    <row r="222" spans="1:13" s="4" customFormat="1" ht="75" customHeight="1" x14ac:dyDescent="0.25">
      <c r="A222" s="27">
        <v>216</v>
      </c>
      <c r="B222" s="10" t="s">
        <v>675</v>
      </c>
      <c r="C222" s="57" t="s">
        <v>676</v>
      </c>
      <c r="D222" s="57" t="s">
        <v>677</v>
      </c>
      <c r="E222" s="83" t="s">
        <v>678</v>
      </c>
      <c r="G222" s="27"/>
      <c r="H222" s="101" t="str">
        <f t="shared" si="3"/>
        <v>NECOMPLETAT</v>
      </c>
      <c r="I222" s="4" t="s">
        <v>3183</v>
      </c>
      <c r="J222" s="4" t="s">
        <v>3182</v>
      </c>
      <c r="K222" s="4" t="s">
        <v>3183</v>
      </c>
    </row>
    <row r="223" spans="1:13" s="4" customFormat="1" ht="60" customHeight="1" x14ac:dyDescent="0.25">
      <c r="A223" s="27">
        <v>217</v>
      </c>
      <c r="B223" s="10" t="s">
        <v>679</v>
      </c>
      <c r="C223" s="57" t="s">
        <v>882</v>
      </c>
      <c r="D223" s="57" t="s">
        <v>887</v>
      </c>
      <c r="E223" s="83" t="s">
        <v>888</v>
      </c>
      <c r="G223" s="27"/>
      <c r="H223" s="101" t="str">
        <f t="shared" si="3"/>
        <v>NECOMPLETAT</v>
      </c>
      <c r="I223" s="4" t="s">
        <v>3183</v>
      </c>
      <c r="J223" s="4" t="s">
        <v>3182</v>
      </c>
      <c r="K223" s="4" t="s">
        <v>3183</v>
      </c>
    </row>
    <row r="224" spans="1:13" s="4" customFormat="1" ht="60" x14ac:dyDescent="0.25">
      <c r="A224" s="27">
        <v>218</v>
      </c>
      <c r="B224" s="10" t="s">
        <v>680</v>
      </c>
      <c r="C224" s="57" t="s">
        <v>885</v>
      </c>
      <c r="D224" s="57" t="s">
        <v>883</v>
      </c>
      <c r="E224" s="83" t="s">
        <v>886</v>
      </c>
      <c r="G224" s="27"/>
      <c r="H224" s="101" t="str">
        <f t="shared" si="3"/>
        <v>NECOMPLETAT</v>
      </c>
      <c r="I224" s="4" t="s">
        <v>3183</v>
      </c>
      <c r="J224" s="4" t="s">
        <v>3182</v>
      </c>
      <c r="K224" s="4" t="s">
        <v>3183</v>
      </c>
      <c r="M224" s="4" t="s">
        <v>3193</v>
      </c>
    </row>
    <row r="225" spans="1:11" s="4" customFormat="1" ht="60" x14ac:dyDescent="0.25">
      <c r="A225" s="27">
        <v>219</v>
      </c>
      <c r="B225" s="10" t="s">
        <v>871</v>
      </c>
      <c r="C225" s="57" t="s">
        <v>882</v>
      </c>
      <c r="D225" s="57" t="s">
        <v>883</v>
      </c>
      <c r="E225" s="83" t="s">
        <v>884</v>
      </c>
      <c r="G225" s="27"/>
      <c r="H225" s="101" t="str">
        <f t="shared" si="3"/>
        <v>NECOMPLETAT</v>
      </c>
      <c r="I225" s="4" t="s">
        <v>3181</v>
      </c>
      <c r="J225" s="4" t="s">
        <v>3183</v>
      </c>
      <c r="K225" s="4" t="s">
        <v>3183</v>
      </c>
    </row>
    <row r="226" spans="1:11" s="4" customFormat="1" ht="45" customHeight="1" x14ac:dyDescent="0.25">
      <c r="A226" s="27">
        <v>220</v>
      </c>
      <c r="B226" s="10" t="s">
        <v>681</v>
      </c>
      <c r="C226" s="57" t="s">
        <v>682</v>
      </c>
      <c r="D226" s="57" t="s">
        <v>971</v>
      </c>
      <c r="E226" s="83" t="s">
        <v>683</v>
      </c>
      <c r="G226" s="27"/>
      <c r="H226" s="101" t="str">
        <f t="shared" si="3"/>
        <v>NECOMPLETAT</v>
      </c>
      <c r="I226" s="4" t="s">
        <v>3181</v>
      </c>
      <c r="J226" s="4" t="s">
        <v>3183</v>
      </c>
      <c r="K226" s="4" t="s">
        <v>3183</v>
      </c>
    </row>
    <row r="227" spans="1:11" s="4" customFormat="1" ht="60" customHeight="1" x14ac:dyDescent="0.25">
      <c r="A227" s="27">
        <v>221</v>
      </c>
      <c r="B227" s="10" t="s">
        <v>684</v>
      </c>
      <c r="C227" s="57" t="s">
        <v>685</v>
      </c>
      <c r="D227" s="57" t="s">
        <v>686</v>
      </c>
      <c r="E227" s="83" t="s">
        <v>687</v>
      </c>
      <c r="G227" s="27"/>
      <c r="H227" s="101" t="str">
        <f t="shared" si="3"/>
        <v>NECOMPLETAT</v>
      </c>
      <c r="I227" s="4" t="s">
        <v>3183</v>
      </c>
      <c r="J227" s="4" t="s">
        <v>3182</v>
      </c>
      <c r="K227" s="4" t="s">
        <v>3183</v>
      </c>
    </row>
    <row r="228" spans="1:11" s="4" customFormat="1" ht="30" customHeight="1" x14ac:dyDescent="0.25">
      <c r="A228" s="27">
        <v>222</v>
      </c>
      <c r="B228" s="10" t="s">
        <v>688</v>
      </c>
      <c r="C228" s="57" t="s">
        <v>689</v>
      </c>
      <c r="D228" s="57" t="s">
        <v>690</v>
      </c>
      <c r="E228" s="83" t="s">
        <v>691</v>
      </c>
      <c r="G228" s="27"/>
      <c r="H228" s="101" t="str">
        <f t="shared" si="3"/>
        <v>NECOMPLETAT</v>
      </c>
      <c r="I228" s="4" t="s">
        <v>3183</v>
      </c>
      <c r="J228" s="4" t="s">
        <v>3183</v>
      </c>
      <c r="K228" s="4" t="s">
        <v>3180</v>
      </c>
    </row>
    <row r="229" spans="1:11" s="4" customFormat="1" ht="60" customHeight="1" x14ac:dyDescent="0.25">
      <c r="A229" s="27">
        <v>223</v>
      </c>
      <c r="B229" s="10" t="s">
        <v>692</v>
      </c>
      <c r="C229" s="57" t="s">
        <v>693</v>
      </c>
      <c r="D229" s="57" t="s">
        <v>694</v>
      </c>
      <c r="E229" s="83" t="s">
        <v>695</v>
      </c>
      <c r="G229" s="27"/>
      <c r="H229" s="101" t="str">
        <f t="shared" si="3"/>
        <v>NECOMPLETAT</v>
      </c>
      <c r="I229" s="4" t="s">
        <v>3183</v>
      </c>
      <c r="J229" s="4" t="s">
        <v>3183</v>
      </c>
      <c r="K229" s="4" t="s">
        <v>3180</v>
      </c>
    </row>
    <row r="230" spans="1:11" s="4" customFormat="1" ht="120" customHeight="1" x14ac:dyDescent="0.25">
      <c r="A230" s="27">
        <v>224</v>
      </c>
      <c r="B230" s="10" t="s">
        <v>972</v>
      </c>
      <c r="C230" s="57" t="s">
        <v>974</v>
      </c>
      <c r="D230" s="57" t="s">
        <v>696</v>
      </c>
      <c r="E230" s="83" t="s">
        <v>973</v>
      </c>
      <c r="G230" s="27"/>
      <c r="H230" s="101" t="str">
        <f t="shared" si="3"/>
        <v>NECOMPLETAT</v>
      </c>
      <c r="I230" s="4" t="s">
        <v>3181</v>
      </c>
      <c r="J230" s="4" t="s">
        <v>3183</v>
      </c>
      <c r="K230" s="4" t="s">
        <v>3183</v>
      </c>
    </row>
    <row r="231" spans="1:11" s="4" customFormat="1" ht="30" customHeight="1" x14ac:dyDescent="0.25">
      <c r="A231" s="27">
        <v>225</v>
      </c>
      <c r="B231" s="10" t="s">
        <v>697</v>
      </c>
      <c r="C231" s="57" t="s">
        <v>698</v>
      </c>
      <c r="D231" s="57" t="s">
        <v>699</v>
      </c>
      <c r="E231" s="82" t="s">
        <v>700</v>
      </c>
      <c r="G231" s="27"/>
      <c r="H231" s="101" t="str">
        <f t="shared" si="3"/>
        <v>NECOMPLETAT</v>
      </c>
      <c r="I231" s="4" t="s">
        <v>3181</v>
      </c>
      <c r="J231" s="4" t="s">
        <v>3183</v>
      </c>
      <c r="K231" s="4" t="s">
        <v>3183</v>
      </c>
    </row>
    <row r="232" spans="1:11" s="4" customFormat="1" ht="60" customHeight="1" x14ac:dyDescent="0.25">
      <c r="A232" s="27">
        <v>226</v>
      </c>
      <c r="B232" s="10" t="s">
        <v>701</v>
      </c>
      <c r="C232" s="57" t="s">
        <v>702</v>
      </c>
      <c r="D232" s="57" t="s">
        <v>703</v>
      </c>
      <c r="E232" s="83" t="s">
        <v>704</v>
      </c>
      <c r="G232" s="27"/>
      <c r="H232" s="101" t="str">
        <f t="shared" si="3"/>
        <v>NECOMPLETAT</v>
      </c>
      <c r="I232" s="4" t="s">
        <v>3183</v>
      </c>
      <c r="J232" s="4" t="s">
        <v>3182</v>
      </c>
      <c r="K232" s="4" t="s">
        <v>3183</v>
      </c>
    </row>
    <row r="233" spans="1:11" s="4" customFormat="1" ht="30" customHeight="1" x14ac:dyDescent="0.25">
      <c r="A233" s="27">
        <v>227</v>
      </c>
      <c r="B233" s="10" t="s">
        <v>705</v>
      </c>
      <c r="C233" s="57" t="s">
        <v>706</v>
      </c>
      <c r="D233" s="56" t="s">
        <v>707</v>
      </c>
      <c r="E233" s="83" t="s">
        <v>708</v>
      </c>
      <c r="G233" s="27"/>
      <c r="H233" s="101" t="str">
        <f t="shared" si="3"/>
        <v>NECOMPLETAT</v>
      </c>
      <c r="I233" s="4" t="s">
        <v>3183</v>
      </c>
      <c r="J233" s="4" t="s">
        <v>3182</v>
      </c>
      <c r="K233" s="4" t="s">
        <v>3183</v>
      </c>
    </row>
    <row r="234" spans="1:11" s="4" customFormat="1" ht="45" customHeight="1" x14ac:dyDescent="0.25">
      <c r="A234" s="27">
        <v>228</v>
      </c>
      <c r="B234" s="10" t="s">
        <v>709</v>
      </c>
      <c r="C234" s="57" t="s">
        <v>710</v>
      </c>
      <c r="D234" s="56" t="s">
        <v>711</v>
      </c>
      <c r="E234" s="83" t="s">
        <v>712</v>
      </c>
      <c r="G234" s="27"/>
      <c r="H234" s="101" t="str">
        <f t="shared" si="3"/>
        <v>NECOMPLETAT</v>
      </c>
      <c r="I234" s="4" t="s">
        <v>3181</v>
      </c>
      <c r="J234" s="4" t="s">
        <v>3183</v>
      </c>
      <c r="K234" s="4" t="s">
        <v>3183</v>
      </c>
    </row>
    <row r="235" spans="1:11" s="4" customFormat="1" ht="30" customHeight="1" x14ac:dyDescent="0.25">
      <c r="A235" s="27">
        <v>229</v>
      </c>
      <c r="B235" s="10" t="s">
        <v>713</v>
      </c>
      <c r="C235" s="57" t="s">
        <v>714</v>
      </c>
      <c r="D235" s="57" t="s">
        <v>715</v>
      </c>
      <c r="E235" s="83" t="s">
        <v>716</v>
      </c>
      <c r="G235" s="27"/>
      <c r="H235" s="101" t="str">
        <f t="shared" si="3"/>
        <v>NECOMPLETAT</v>
      </c>
      <c r="I235" s="4" t="s">
        <v>3183</v>
      </c>
      <c r="J235" s="4" t="s">
        <v>3182</v>
      </c>
      <c r="K235" s="4" t="s">
        <v>3183</v>
      </c>
    </row>
    <row r="236" spans="1:11" s="4" customFormat="1" ht="30" customHeight="1" x14ac:dyDescent="0.25">
      <c r="A236" s="27">
        <v>230</v>
      </c>
      <c r="B236" s="10" t="s">
        <v>717</v>
      </c>
      <c r="C236" s="56" t="s">
        <v>718</v>
      </c>
      <c r="D236" s="57" t="s">
        <v>719</v>
      </c>
      <c r="E236" s="83" t="s">
        <v>720</v>
      </c>
      <c r="G236" s="27"/>
      <c r="H236" s="101" t="str">
        <f t="shared" si="3"/>
        <v>NECOMPLETAT</v>
      </c>
      <c r="I236" s="4" t="s">
        <v>3183</v>
      </c>
      <c r="J236" s="4" t="s">
        <v>3182</v>
      </c>
      <c r="K236" s="4" t="s">
        <v>3183</v>
      </c>
    </row>
    <row r="237" spans="1:11" s="4" customFormat="1" ht="30" customHeight="1" x14ac:dyDescent="0.25">
      <c r="A237" s="27">
        <v>231</v>
      </c>
      <c r="B237" s="10" t="s">
        <v>721</v>
      </c>
      <c r="C237" s="57" t="s">
        <v>722</v>
      </c>
      <c r="D237" s="57" t="s">
        <v>723</v>
      </c>
      <c r="E237" s="83" t="s">
        <v>724</v>
      </c>
      <c r="G237" s="27"/>
      <c r="H237" s="101" t="str">
        <f t="shared" si="3"/>
        <v>NECOMPLETAT</v>
      </c>
      <c r="I237" s="4" t="s">
        <v>3183</v>
      </c>
      <c r="J237" s="4" t="s">
        <v>3182</v>
      </c>
      <c r="K237" s="4" t="s">
        <v>3183</v>
      </c>
    </row>
    <row r="238" spans="1:11" s="4" customFormat="1" ht="45" customHeight="1" x14ac:dyDescent="0.25">
      <c r="A238" s="27">
        <v>232</v>
      </c>
      <c r="B238" s="10" t="s">
        <v>725</v>
      </c>
      <c r="C238" s="57" t="s">
        <v>726</v>
      </c>
      <c r="D238" s="57" t="s">
        <v>727</v>
      </c>
      <c r="E238" s="83" t="s">
        <v>728</v>
      </c>
      <c r="G238" s="27"/>
      <c r="H238" s="101" t="str">
        <f t="shared" si="3"/>
        <v>NECOMPLETAT</v>
      </c>
      <c r="I238" s="4" t="s">
        <v>3181</v>
      </c>
      <c r="J238" s="4" t="s">
        <v>3183</v>
      </c>
      <c r="K238" s="4" t="s">
        <v>3183</v>
      </c>
    </row>
    <row r="239" spans="1:11" s="4" customFormat="1" ht="60" customHeight="1" x14ac:dyDescent="0.25">
      <c r="A239" s="27">
        <v>233</v>
      </c>
      <c r="B239" s="10" t="s">
        <v>872</v>
      </c>
      <c r="C239" s="57" t="s">
        <v>858</v>
      </c>
      <c r="D239" s="57" t="s">
        <v>975</v>
      </c>
      <c r="E239" s="83" t="s">
        <v>729</v>
      </c>
      <c r="G239" s="27"/>
      <c r="H239" s="101" t="str">
        <f t="shared" si="3"/>
        <v>NECOMPLETAT</v>
      </c>
      <c r="I239" s="4" t="s">
        <v>3181</v>
      </c>
      <c r="J239" s="4" t="s">
        <v>3183</v>
      </c>
      <c r="K239" s="4" t="s">
        <v>3183</v>
      </c>
    </row>
    <row r="240" spans="1:11" s="4" customFormat="1" ht="45" customHeight="1" x14ac:dyDescent="0.25">
      <c r="A240" s="27">
        <v>234</v>
      </c>
      <c r="B240" s="10" t="s">
        <v>730</v>
      </c>
      <c r="C240" s="56" t="s">
        <v>731</v>
      </c>
      <c r="D240" s="56" t="s">
        <v>732</v>
      </c>
      <c r="E240" s="82" t="s">
        <v>733</v>
      </c>
      <c r="G240" s="27"/>
      <c r="H240" s="101" t="str">
        <f t="shared" si="3"/>
        <v>NECOMPLETAT</v>
      </c>
      <c r="I240" s="4" t="s">
        <v>3183</v>
      </c>
      <c r="J240" s="4" t="s">
        <v>3183</v>
      </c>
      <c r="K240" s="4" t="s">
        <v>3180</v>
      </c>
    </row>
    <row r="241" spans="1:11" s="4" customFormat="1" ht="30" customHeight="1" x14ac:dyDescent="0.25">
      <c r="A241" s="27">
        <v>235</v>
      </c>
      <c r="B241" s="10" t="s">
        <v>1019</v>
      </c>
      <c r="C241" s="57" t="s">
        <v>734</v>
      </c>
      <c r="D241" s="57" t="s">
        <v>735</v>
      </c>
      <c r="E241" s="83" t="s">
        <v>736</v>
      </c>
      <c r="G241" s="27"/>
      <c r="H241" s="101" t="str">
        <f t="shared" si="3"/>
        <v>NECOMPLETAT</v>
      </c>
      <c r="I241" s="4" t="s">
        <v>3183</v>
      </c>
      <c r="J241" s="4" t="s">
        <v>3182</v>
      </c>
      <c r="K241" s="4" t="s">
        <v>3183</v>
      </c>
    </row>
    <row r="242" spans="1:11" s="4" customFormat="1" ht="30" customHeight="1" x14ac:dyDescent="0.25">
      <c r="A242" s="27">
        <v>236</v>
      </c>
      <c r="B242" s="10" t="s">
        <v>873</v>
      </c>
      <c r="C242" s="57" t="s">
        <v>976</v>
      </c>
      <c r="D242" s="57" t="s">
        <v>874</v>
      </c>
      <c r="E242" s="83" t="s">
        <v>737</v>
      </c>
      <c r="G242" s="27"/>
      <c r="H242" s="101" t="str">
        <f t="shared" si="3"/>
        <v>NECOMPLETAT</v>
      </c>
      <c r="I242" s="4" t="s">
        <v>3183</v>
      </c>
      <c r="J242" s="4" t="s">
        <v>3182</v>
      </c>
      <c r="K242" s="4" t="s">
        <v>3183</v>
      </c>
    </row>
    <row r="243" spans="1:11" s="4" customFormat="1" ht="45" customHeight="1" x14ac:dyDescent="0.25">
      <c r="A243" s="27">
        <v>237</v>
      </c>
      <c r="B243" s="10" t="s">
        <v>857</v>
      </c>
      <c r="C243" s="57" t="s">
        <v>738</v>
      </c>
      <c r="D243" s="57" t="s">
        <v>739</v>
      </c>
      <c r="E243" s="83" t="s">
        <v>740</v>
      </c>
      <c r="G243" s="27"/>
      <c r="H243" s="101" t="str">
        <f t="shared" si="3"/>
        <v>NECOMPLETAT</v>
      </c>
      <c r="I243" s="4" t="s">
        <v>3183</v>
      </c>
      <c r="J243" s="4" t="s">
        <v>3183</v>
      </c>
      <c r="K243" s="4" t="s">
        <v>3180</v>
      </c>
    </row>
    <row r="244" spans="1:11" s="4" customFormat="1" ht="60" customHeight="1" x14ac:dyDescent="0.25">
      <c r="A244" s="27">
        <v>238</v>
      </c>
      <c r="B244" s="10" t="s">
        <v>741</v>
      </c>
      <c r="C244" s="57" t="s">
        <v>742</v>
      </c>
      <c r="D244" s="57" t="s">
        <v>743</v>
      </c>
      <c r="E244" s="83" t="s">
        <v>744</v>
      </c>
      <c r="G244" s="27"/>
      <c r="H244" s="101" t="str">
        <f t="shared" si="3"/>
        <v>NECOMPLETAT</v>
      </c>
      <c r="I244" s="4" t="s">
        <v>3181</v>
      </c>
      <c r="J244" s="4" t="s">
        <v>3183</v>
      </c>
      <c r="K244" s="4" t="s">
        <v>3183</v>
      </c>
    </row>
    <row r="245" spans="1:11" s="4" customFormat="1" ht="20.25" customHeight="1" x14ac:dyDescent="0.25">
      <c r="A245" s="27">
        <v>239</v>
      </c>
      <c r="B245" s="10" t="s">
        <v>745</v>
      </c>
      <c r="C245" s="57" t="s">
        <v>746</v>
      </c>
      <c r="D245" s="57" t="s">
        <v>747</v>
      </c>
      <c r="E245" s="83" t="s">
        <v>748</v>
      </c>
      <c r="G245" s="27"/>
      <c r="H245" s="101" t="str">
        <f t="shared" si="3"/>
        <v>NECOMPLETAT</v>
      </c>
      <c r="I245" s="4" t="s">
        <v>3181</v>
      </c>
      <c r="J245" s="4" t="s">
        <v>3183</v>
      </c>
      <c r="K245" s="4" t="s">
        <v>3183</v>
      </c>
    </row>
    <row r="246" spans="1:11" s="4" customFormat="1" ht="56.45" customHeight="1" x14ac:dyDescent="0.25">
      <c r="A246" s="27">
        <v>240</v>
      </c>
      <c r="B246" s="10" t="s">
        <v>749</v>
      </c>
      <c r="C246" s="57" t="s">
        <v>750</v>
      </c>
      <c r="D246" s="57" t="s">
        <v>875</v>
      </c>
      <c r="E246" s="83" t="s">
        <v>876</v>
      </c>
      <c r="G246" s="27"/>
      <c r="H246" s="101" t="str">
        <f t="shared" si="3"/>
        <v>NECOMPLETAT</v>
      </c>
      <c r="I246" s="4" t="s">
        <v>3183</v>
      </c>
      <c r="J246" s="4" t="s">
        <v>3182</v>
      </c>
      <c r="K246" s="4" t="s">
        <v>3183</v>
      </c>
    </row>
    <row r="247" spans="1:11" s="4" customFormat="1" ht="30" customHeight="1" x14ac:dyDescent="0.25">
      <c r="A247" s="27">
        <v>241</v>
      </c>
      <c r="B247" s="10" t="s">
        <v>751</v>
      </c>
      <c r="C247" s="56" t="s">
        <v>752</v>
      </c>
      <c r="D247" s="56" t="s">
        <v>753</v>
      </c>
      <c r="E247" s="82" t="s">
        <v>754</v>
      </c>
      <c r="G247" s="27"/>
      <c r="H247" s="101" t="str">
        <f t="shared" si="3"/>
        <v>NECOMPLETAT</v>
      </c>
      <c r="I247" s="4" t="s">
        <v>3181</v>
      </c>
      <c r="J247" s="4" t="s">
        <v>3183</v>
      </c>
      <c r="K247" s="4" t="s">
        <v>3183</v>
      </c>
    </row>
    <row r="248" spans="1:11" s="4" customFormat="1" ht="60" customHeight="1" x14ac:dyDescent="0.25">
      <c r="A248" s="27">
        <v>242</v>
      </c>
      <c r="B248" s="10" t="s">
        <v>755</v>
      </c>
      <c r="C248" s="56" t="s">
        <v>756</v>
      </c>
      <c r="D248" s="56" t="s">
        <v>757</v>
      </c>
      <c r="E248" s="82" t="s">
        <v>758</v>
      </c>
      <c r="G248" s="27"/>
      <c r="H248" s="101" t="str">
        <f t="shared" si="3"/>
        <v>NECOMPLETAT</v>
      </c>
      <c r="I248" s="4" t="s">
        <v>3183</v>
      </c>
      <c r="J248" s="4" t="s">
        <v>3183</v>
      </c>
      <c r="K248" s="4" t="s">
        <v>3180</v>
      </c>
    </row>
    <row r="249" spans="1:11" s="4" customFormat="1" ht="45" customHeight="1" x14ac:dyDescent="0.25">
      <c r="A249" s="27">
        <v>243</v>
      </c>
      <c r="B249" s="11" t="s">
        <v>759</v>
      </c>
      <c r="C249" s="56" t="s">
        <v>760</v>
      </c>
      <c r="D249" s="56" t="s">
        <v>761</v>
      </c>
      <c r="E249" s="82" t="s">
        <v>762</v>
      </c>
      <c r="G249" s="27"/>
      <c r="H249" s="101" t="str">
        <f t="shared" si="3"/>
        <v>NECOMPLETAT</v>
      </c>
      <c r="I249" s="4" t="s">
        <v>3183</v>
      </c>
      <c r="J249" s="4" t="s">
        <v>3183</v>
      </c>
      <c r="K249" s="4" t="s">
        <v>3180</v>
      </c>
    </row>
    <row r="250" spans="1:11" s="4" customFormat="1" ht="45" customHeight="1" x14ac:dyDescent="0.25">
      <c r="A250" s="27">
        <v>244</v>
      </c>
      <c r="B250" s="10" t="s">
        <v>763</v>
      </c>
      <c r="C250" s="57" t="s">
        <v>764</v>
      </c>
      <c r="D250" s="57" t="s">
        <v>765</v>
      </c>
      <c r="E250" s="83" t="s">
        <v>766</v>
      </c>
      <c r="G250" s="27"/>
      <c r="H250" s="101" t="str">
        <f t="shared" si="3"/>
        <v>NECOMPLETAT</v>
      </c>
      <c r="I250" s="4" t="s">
        <v>3183</v>
      </c>
      <c r="J250" s="4" t="s">
        <v>3182</v>
      </c>
      <c r="K250" s="4" t="s">
        <v>3183</v>
      </c>
    </row>
    <row r="251" spans="1:11" s="4" customFormat="1" ht="45" customHeight="1" x14ac:dyDescent="0.25">
      <c r="A251" s="27">
        <v>245</v>
      </c>
      <c r="B251" s="11" t="s">
        <v>767</v>
      </c>
      <c r="C251" s="56" t="s">
        <v>768</v>
      </c>
      <c r="D251" s="56" t="s">
        <v>769</v>
      </c>
      <c r="E251" s="82" t="s">
        <v>770</v>
      </c>
      <c r="G251" s="27"/>
      <c r="H251" s="101" t="str">
        <f t="shared" si="3"/>
        <v>NECOMPLETAT</v>
      </c>
      <c r="I251" s="4" t="s">
        <v>3181</v>
      </c>
      <c r="J251" s="4" t="s">
        <v>3183</v>
      </c>
      <c r="K251" s="4" t="s">
        <v>3183</v>
      </c>
    </row>
    <row r="252" spans="1:11" s="4" customFormat="1" ht="30" customHeight="1" x14ac:dyDescent="0.25">
      <c r="A252" s="27">
        <v>246</v>
      </c>
      <c r="B252" s="10" t="s">
        <v>771</v>
      </c>
      <c r="C252" s="57" t="s">
        <v>772</v>
      </c>
      <c r="D252" s="57" t="s">
        <v>773</v>
      </c>
      <c r="E252" s="83" t="s">
        <v>774</v>
      </c>
      <c r="G252" s="27"/>
      <c r="H252" s="101" t="str">
        <f t="shared" si="3"/>
        <v>NECOMPLETAT</v>
      </c>
      <c r="I252" s="4" t="s">
        <v>3183</v>
      </c>
      <c r="J252" s="4" t="s">
        <v>3182</v>
      </c>
      <c r="K252" s="4" t="s">
        <v>3183</v>
      </c>
    </row>
    <row r="253" spans="1:11" s="4" customFormat="1" ht="45" customHeight="1" x14ac:dyDescent="0.25">
      <c r="A253" s="27">
        <v>247</v>
      </c>
      <c r="B253" s="10" t="s">
        <v>775</v>
      </c>
      <c r="C253" s="57" t="s">
        <v>776</v>
      </c>
      <c r="D253" s="57" t="s">
        <v>1020</v>
      </c>
      <c r="E253" s="83" t="s">
        <v>777</v>
      </c>
      <c r="G253" s="27"/>
      <c r="H253" s="101" t="str">
        <f t="shared" si="3"/>
        <v>NECOMPLETAT</v>
      </c>
      <c r="I253" s="4" t="s">
        <v>3183</v>
      </c>
      <c r="J253" s="4" t="s">
        <v>3182</v>
      </c>
      <c r="K253" s="4" t="s">
        <v>3183</v>
      </c>
    </row>
    <row r="254" spans="1:11" s="4" customFormat="1" ht="60" customHeight="1" x14ac:dyDescent="0.25">
      <c r="A254" s="27">
        <v>248</v>
      </c>
      <c r="B254" s="10" t="s">
        <v>778</v>
      </c>
      <c r="C254" s="57" t="s">
        <v>977</v>
      </c>
      <c r="D254" s="57" t="s">
        <v>780</v>
      </c>
      <c r="E254" s="83" t="s">
        <v>781</v>
      </c>
      <c r="G254" s="27"/>
      <c r="H254" s="101" t="str">
        <f t="shared" si="3"/>
        <v>NECOMPLETAT</v>
      </c>
      <c r="I254" s="4" t="s">
        <v>3183</v>
      </c>
      <c r="J254" s="4" t="s">
        <v>3183</v>
      </c>
      <c r="K254" s="4" t="s">
        <v>3180</v>
      </c>
    </row>
    <row r="255" spans="1:11" s="4" customFormat="1" ht="30" customHeight="1" x14ac:dyDescent="0.25">
      <c r="A255" s="27">
        <v>249</v>
      </c>
      <c r="B255" s="10" t="s">
        <v>778</v>
      </c>
      <c r="C255" s="57" t="s">
        <v>779</v>
      </c>
      <c r="D255" s="57" t="s">
        <v>978</v>
      </c>
      <c r="E255" s="83" t="s">
        <v>782</v>
      </c>
      <c r="G255" s="27"/>
      <c r="H255" s="101" t="str">
        <f t="shared" si="3"/>
        <v>NECOMPLETAT</v>
      </c>
      <c r="I255" s="4" t="s">
        <v>3181</v>
      </c>
      <c r="J255" s="4" t="s">
        <v>3183</v>
      </c>
      <c r="K255" s="4" t="s">
        <v>3183</v>
      </c>
    </row>
    <row r="256" spans="1:11" s="4" customFormat="1" ht="30" customHeight="1" x14ac:dyDescent="0.25">
      <c r="A256" s="27">
        <v>250</v>
      </c>
      <c r="B256" s="10" t="s">
        <v>783</v>
      </c>
      <c r="C256" s="57" t="s">
        <v>784</v>
      </c>
      <c r="D256" s="57" t="s">
        <v>785</v>
      </c>
      <c r="E256" s="83" t="s">
        <v>786</v>
      </c>
      <c r="G256" s="27"/>
      <c r="H256" s="101" t="str">
        <f t="shared" si="3"/>
        <v>NECOMPLETAT</v>
      </c>
      <c r="I256" s="4" t="s">
        <v>3181</v>
      </c>
      <c r="J256" s="4" t="s">
        <v>3183</v>
      </c>
      <c r="K256" s="4" t="s">
        <v>3183</v>
      </c>
    </row>
    <row r="257" spans="1:12" s="4" customFormat="1" ht="45" customHeight="1" x14ac:dyDescent="0.25">
      <c r="A257" s="27">
        <v>251</v>
      </c>
      <c r="B257" s="10" t="s">
        <v>787</v>
      </c>
      <c r="C257" s="57" t="s">
        <v>788</v>
      </c>
      <c r="D257" s="57" t="s">
        <v>789</v>
      </c>
      <c r="E257" s="83" t="s">
        <v>790</v>
      </c>
      <c r="G257" s="27"/>
      <c r="H257" s="101" t="str">
        <f t="shared" si="3"/>
        <v>NECOMPLETAT</v>
      </c>
      <c r="I257" s="4" t="s">
        <v>3183</v>
      </c>
      <c r="J257" s="4" t="s">
        <v>3183</v>
      </c>
      <c r="K257" s="4" t="s">
        <v>3180</v>
      </c>
    </row>
    <row r="258" spans="1:12" s="4" customFormat="1" ht="60" customHeight="1" x14ac:dyDescent="0.25">
      <c r="A258" s="27">
        <v>252</v>
      </c>
      <c r="B258" s="10" t="s">
        <v>791</v>
      </c>
      <c r="C258" s="57" t="s">
        <v>1021</v>
      </c>
      <c r="D258" s="57" t="s">
        <v>1022</v>
      </c>
      <c r="E258" s="83" t="s">
        <v>1023</v>
      </c>
      <c r="G258" s="27"/>
      <c r="H258" s="101" t="str">
        <f t="shared" si="3"/>
        <v>NECOMPLETAT</v>
      </c>
      <c r="I258" s="4" t="s">
        <v>3181</v>
      </c>
      <c r="J258" s="4" t="s">
        <v>3183</v>
      </c>
      <c r="K258" s="4" t="s">
        <v>3183</v>
      </c>
    </row>
    <row r="259" spans="1:12" ht="60" customHeight="1" x14ac:dyDescent="0.25">
      <c r="A259" s="26">
        <v>253</v>
      </c>
      <c r="B259" s="45" t="s">
        <v>792</v>
      </c>
      <c r="C259" s="61" t="s">
        <v>793</v>
      </c>
      <c r="D259" s="61" t="s">
        <v>794</v>
      </c>
      <c r="E259" s="85" t="s">
        <v>795</v>
      </c>
      <c r="G259" s="27"/>
      <c r="H259" s="101" t="str">
        <f t="shared" si="3"/>
        <v>NECOMPLETAT</v>
      </c>
      <c r="I259" s="4" t="s">
        <v>3181</v>
      </c>
      <c r="J259" s="4" t="s">
        <v>3183</v>
      </c>
      <c r="K259" s="4" t="s">
        <v>3183</v>
      </c>
      <c r="L259" s="4"/>
    </row>
    <row r="260" spans="1:12" s="4" customFormat="1" ht="45" customHeight="1" x14ac:dyDescent="0.25">
      <c r="A260" s="27">
        <v>254</v>
      </c>
      <c r="B260" s="10" t="s">
        <v>796</v>
      </c>
      <c r="C260" s="57" t="s">
        <v>372</v>
      </c>
      <c r="D260" s="57" t="s">
        <v>371</v>
      </c>
      <c r="E260" s="83" t="s">
        <v>797</v>
      </c>
      <c r="G260" s="27"/>
      <c r="H260" s="101" t="str">
        <f t="shared" si="3"/>
        <v>NECOMPLETAT</v>
      </c>
      <c r="I260" s="4" t="s">
        <v>3183</v>
      </c>
      <c r="J260" s="4" t="s">
        <v>3183</v>
      </c>
      <c r="K260" s="4" t="s">
        <v>3180</v>
      </c>
    </row>
    <row r="261" spans="1:12" s="4" customFormat="1" ht="45" customHeight="1" x14ac:dyDescent="0.25">
      <c r="A261" s="27">
        <v>255</v>
      </c>
      <c r="B261" s="10" t="s">
        <v>798</v>
      </c>
      <c r="C261" s="57" t="s">
        <v>799</v>
      </c>
      <c r="D261" s="56" t="s">
        <v>800</v>
      </c>
      <c r="E261" s="83" t="s">
        <v>801</v>
      </c>
      <c r="G261" s="27"/>
      <c r="H261" s="101" t="str">
        <f t="shared" si="3"/>
        <v>NECOMPLETAT</v>
      </c>
      <c r="I261" s="4" t="s">
        <v>3183</v>
      </c>
      <c r="J261" s="4" t="s">
        <v>3182</v>
      </c>
      <c r="K261" s="4" t="s">
        <v>3183</v>
      </c>
    </row>
    <row r="262" spans="1:12" s="4" customFormat="1" ht="30" customHeight="1" x14ac:dyDescent="0.25">
      <c r="A262" s="27">
        <v>256</v>
      </c>
      <c r="B262" s="10" t="s">
        <v>802</v>
      </c>
      <c r="C262" s="56" t="s">
        <v>803</v>
      </c>
      <c r="D262" s="56" t="s">
        <v>804</v>
      </c>
      <c r="E262" s="82" t="s">
        <v>805</v>
      </c>
      <c r="G262" s="27"/>
      <c r="H262" s="101" t="str">
        <f t="shared" si="3"/>
        <v>NECOMPLETAT</v>
      </c>
      <c r="I262" s="4" t="s">
        <v>3181</v>
      </c>
      <c r="J262" s="4" t="s">
        <v>3183</v>
      </c>
      <c r="K262" s="4" t="s">
        <v>3183</v>
      </c>
    </row>
    <row r="263" spans="1:12" s="4" customFormat="1" ht="20.25" customHeight="1" x14ac:dyDescent="0.25">
      <c r="A263" s="27">
        <v>257</v>
      </c>
      <c r="B263" s="10" t="s">
        <v>806</v>
      </c>
      <c r="C263" s="57" t="s">
        <v>902</v>
      </c>
      <c r="D263" s="57" t="s">
        <v>877</v>
      </c>
      <c r="E263" s="83" t="s">
        <v>807</v>
      </c>
      <c r="G263" s="27"/>
      <c r="H263" s="101" t="str">
        <f t="shared" si="3"/>
        <v>NECOMPLETAT</v>
      </c>
      <c r="I263" s="4" t="s">
        <v>3183</v>
      </c>
      <c r="J263" s="4" t="s">
        <v>3182</v>
      </c>
      <c r="K263" s="4" t="s">
        <v>3183</v>
      </c>
    </row>
    <row r="264" spans="1:12" s="4" customFormat="1" ht="30" customHeight="1" x14ac:dyDescent="0.25">
      <c r="A264" s="27">
        <v>258</v>
      </c>
      <c r="B264" s="10" t="s">
        <v>808</v>
      </c>
      <c r="C264" s="56" t="s">
        <v>809</v>
      </c>
      <c r="D264" s="56" t="s">
        <v>810</v>
      </c>
      <c r="E264" s="82" t="s">
        <v>811</v>
      </c>
      <c r="G264" s="27"/>
      <c r="H264" s="101" t="str">
        <f t="shared" ref="H264:H327" si="4">IF(G264=0,"NECOMPLETAT",IF(OR(G264=I264,G264=J264,G264=K264),"CORECT","GRESIT"))</f>
        <v>NECOMPLETAT</v>
      </c>
      <c r="I264" s="4" t="s">
        <v>3183</v>
      </c>
      <c r="J264" s="4" t="s">
        <v>3182</v>
      </c>
      <c r="K264" s="4" t="s">
        <v>3183</v>
      </c>
    </row>
    <row r="265" spans="1:12" s="4" customFormat="1" ht="30" customHeight="1" x14ac:dyDescent="0.25">
      <c r="A265" s="27">
        <v>259</v>
      </c>
      <c r="B265" s="10" t="s">
        <v>812</v>
      </c>
      <c r="C265" s="57" t="s">
        <v>810</v>
      </c>
      <c r="D265" s="57" t="s">
        <v>813</v>
      </c>
      <c r="E265" s="83" t="s">
        <v>814</v>
      </c>
      <c r="G265" s="27"/>
      <c r="H265" s="101" t="str">
        <f t="shared" si="4"/>
        <v>NECOMPLETAT</v>
      </c>
      <c r="I265" s="4" t="s">
        <v>3183</v>
      </c>
      <c r="J265" s="4" t="s">
        <v>3182</v>
      </c>
      <c r="K265" s="4" t="s">
        <v>3183</v>
      </c>
    </row>
    <row r="266" spans="1:12" s="4" customFormat="1" ht="20.25" customHeight="1" x14ac:dyDescent="0.25">
      <c r="A266" s="27">
        <v>260</v>
      </c>
      <c r="B266" s="10" t="s">
        <v>815</v>
      </c>
      <c r="C266" s="57" t="s">
        <v>816</v>
      </c>
      <c r="D266" s="57" t="s">
        <v>817</v>
      </c>
      <c r="E266" s="83" t="s">
        <v>818</v>
      </c>
      <c r="G266" s="27"/>
      <c r="H266" s="101" t="str">
        <f t="shared" si="4"/>
        <v>NECOMPLETAT</v>
      </c>
      <c r="I266" s="4" t="s">
        <v>3183</v>
      </c>
      <c r="J266" s="4" t="s">
        <v>3182</v>
      </c>
      <c r="K266" s="4" t="s">
        <v>3183</v>
      </c>
    </row>
    <row r="267" spans="1:12" s="4" customFormat="1" ht="30" customHeight="1" x14ac:dyDescent="0.25">
      <c r="A267" s="27">
        <v>261</v>
      </c>
      <c r="B267" s="10" t="s">
        <v>819</v>
      </c>
      <c r="C267" s="56" t="s">
        <v>820</v>
      </c>
      <c r="D267" s="56" t="s">
        <v>821</v>
      </c>
      <c r="E267" s="83" t="s">
        <v>822</v>
      </c>
      <c r="G267" s="27"/>
      <c r="H267" s="101" t="str">
        <f t="shared" si="4"/>
        <v>NECOMPLETAT</v>
      </c>
      <c r="I267" s="4" t="s">
        <v>3181</v>
      </c>
      <c r="J267" s="4" t="s">
        <v>3183</v>
      </c>
      <c r="K267" s="4" t="s">
        <v>3183</v>
      </c>
    </row>
    <row r="268" spans="1:12" s="4" customFormat="1" ht="30" customHeight="1" x14ac:dyDescent="0.25">
      <c r="A268" s="27">
        <v>262</v>
      </c>
      <c r="B268" s="10" t="s">
        <v>823</v>
      </c>
      <c r="C268" s="56" t="s">
        <v>824</v>
      </c>
      <c r="D268" s="56" t="s">
        <v>825</v>
      </c>
      <c r="E268" s="82" t="s">
        <v>826</v>
      </c>
      <c r="G268" s="27"/>
      <c r="H268" s="101" t="str">
        <f t="shared" si="4"/>
        <v>NECOMPLETAT</v>
      </c>
      <c r="I268" s="4" t="s">
        <v>3183</v>
      </c>
      <c r="J268" s="4" t="s">
        <v>3182</v>
      </c>
      <c r="K268" s="4" t="s">
        <v>3183</v>
      </c>
    </row>
    <row r="269" spans="1:12" s="4" customFormat="1" ht="30" customHeight="1" x14ac:dyDescent="0.25">
      <c r="A269" s="27">
        <v>263</v>
      </c>
      <c r="B269" s="10" t="s">
        <v>827</v>
      </c>
      <c r="C269" s="57" t="s">
        <v>828</v>
      </c>
      <c r="D269" s="57" t="s">
        <v>829</v>
      </c>
      <c r="E269" s="83" t="s">
        <v>825</v>
      </c>
      <c r="G269" s="27"/>
      <c r="H269" s="101" t="str">
        <f t="shared" si="4"/>
        <v>NECOMPLETAT</v>
      </c>
      <c r="I269" s="4" t="s">
        <v>3181</v>
      </c>
      <c r="J269" s="4" t="s">
        <v>3183</v>
      </c>
      <c r="K269" s="4" t="s">
        <v>3183</v>
      </c>
    </row>
    <row r="270" spans="1:12" s="4" customFormat="1" ht="75" customHeight="1" x14ac:dyDescent="0.25">
      <c r="A270" s="27">
        <v>264</v>
      </c>
      <c r="B270" s="10" t="s">
        <v>830</v>
      </c>
      <c r="C270" s="57" t="s">
        <v>831</v>
      </c>
      <c r="D270" s="57" t="s">
        <v>832</v>
      </c>
      <c r="E270" s="83" t="s">
        <v>979</v>
      </c>
      <c r="G270" s="27"/>
      <c r="H270" s="101" t="str">
        <f t="shared" si="4"/>
        <v>NECOMPLETAT</v>
      </c>
      <c r="I270" s="4" t="s">
        <v>3183</v>
      </c>
      <c r="J270" s="4" t="s">
        <v>3182</v>
      </c>
      <c r="K270" s="4" t="s">
        <v>3183</v>
      </c>
    </row>
    <row r="271" spans="1:12" s="4" customFormat="1" ht="30" x14ac:dyDescent="0.25">
      <c r="A271" s="27">
        <v>265</v>
      </c>
      <c r="B271" s="10" t="s">
        <v>980</v>
      </c>
      <c r="C271" s="57" t="s">
        <v>981</v>
      </c>
      <c r="D271" s="57" t="s">
        <v>982</v>
      </c>
      <c r="E271" s="83" t="s">
        <v>983</v>
      </c>
      <c r="G271" s="27"/>
      <c r="H271" s="101" t="str">
        <f t="shared" si="4"/>
        <v>NECOMPLETAT</v>
      </c>
      <c r="I271" s="4" t="s">
        <v>3181</v>
      </c>
      <c r="J271" s="4" t="s">
        <v>3183</v>
      </c>
      <c r="K271" s="4" t="s">
        <v>3183</v>
      </c>
    </row>
    <row r="272" spans="1:12" s="4" customFormat="1" ht="75" customHeight="1" x14ac:dyDescent="0.25">
      <c r="A272" s="27">
        <v>266</v>
      </c>
      <c r="B272" s="10" t="s">
        <v>830</v>
      </c>
      <c r="C272" s="57" t="s">
        <v>833</v>
      </c>
      <c r="D272" s="57" t="s">
        <v>834</v>
      </c>
      <c r="E272" s="83" t="s">
        <v>984</v>
      </c>
      <c r="G272" s="27"/>
      <c r="H272" s="101" t="str">
        <f t="shared" si="4"/>
        <v>NECOMPLETAT</v>
      </c>
      <c r="I272" s="4" t="s">
        <v>3181</v>
      </c>
      <c r="J272" s="4" t="s">
        <v>3183</v>
      </c>
      <c r="K272" s="4" t="s">
        <v>3183</v>
      </c>
    </row>
    <row r="273" spans="1:21" s="4" customFormat="1" ht="60" customHeight="1" x14ac:dyDescent="0.25">
      <c r="A273" s="27">
        <v>267</v>
      </c>
      <c r="B273" s="10" t="s">
        <v>830</v>
      </c>
      <c r="C273" s="57" t="s">
        <v>1032</v>
      </c>
      <c r="D273" s="57" t="s">
        <v>985</v>
      </c>
      <c r="E273" s="83" t="s">
        <v>831</v>
      </c>
      <c r="G273" s="27"/>
      <c r="H273" s="101" t="str">
        <f t="shared" si="4"/>
        <v>NECOMPLETAT</v>
      </c>
      <c r="I273" s="4" t="s">
        <v>3181</v>
      </c>
      <c r="J273" s="4" t="s">
        <v>3183</v>
      </c>
      <c r="K273" s="4" t="s">
        <v>3183</v>
      </c>
    </row>
    <row r="274" spans="1:21" s="4" customFormat="1" ht="45" customHeight="1" x14ac:dyDescent="0.25">
      <c r="A274" s="27">
        <v>268</v>
      </c>
      <c r="B274" s="10" t="s">
        <v>835</v>
      </c>
      <c r="C274" s="57" t="s">
        <v>986</v>
      </c>
      <c r="D274" s="57" t="s">
        <v>836</v>
      </c>
      <c r="E274" s="83" t="s">
        <v>837</v>
      </c>
      <c r="G274" s="27"/>
      <c r="H274" s="101" t="str">
        <f t="shared" si="4"/>
        <v>NECOMPLETAT</v>
      </c>
      <c r="I274" s="4" t="s">
        <v>3183</v>
      </c>
      <c r="J274" s="4" t="s">
        <v>3182</v>
      </c>
      <c r="K274" s="4" t="s">
        <v>3183</v>
      </c>
    </row>
    <row r="275" spans="1:21" s="4" customFormat="1" ht="45" x14ac:dyDescent="0.25">
      <c r="A275" s="27">
        <v>269</v>
      </c>
      <c r="B275" s="10" t="s">
        <v>987</v>
      </c>
      <c r="C275" s="57" t="s">
        <v>988</v>
      </c>
      <c r="D275" s="57" t="s">
        <v>990</v>
      </c>
      <c r="E275" s="83" t="s">
        <v>989</v>
      </c>
      <c r="G275" s="27"/>
      <c r="H275" s="101" t="str">
        <f t="shared" si="4"/>
        <v>NECOMPLETAT</v>
      </c>
      <c r="I275" s="4" t="s">
        <v>3183</v>
      </c>
      <c r="J275" s="4" t="s">
        <v>3183</v>
      </c>
      <c r="K275" s="4" t="s">
        <v>3180</v>
      </c>
    </row>
    <row r="276" spans="1:21" s="4" customFormat="1" ht="46.5" customHeight="1" x14ac:dyDescent="0.25">
      <c r="A276" s="27">
        <v>270</v>
      </c>
      <c r="B276" s="10" t="s">
        <v>991</v>
      </c>
      <c r="C276" s="57" t="s">
        <v>993</v>
      </c>
      <c r="D276" s="57" t="s">
        <v>992</v>
      </c>
      <c r="E276" s="83" t="s">
        <v>838</v>
      </c>
      <c r="G276" s="27"/>
      <c r="H276" s="101" t="str">
        <f t="shared" si="4"/>
        <v>NECOMPLETAT</v>
      </c>
      <c r="I276" s="4" t="s">
        <v>3183</v>
      </c>
      <c r="J276" s="4" t="s">
        <v>3182</v>
      </c>
      <c r="K276" s="4" t="s">
        <v>3183</v>
      </c>
    </row>
    <row r="277" spans="1:21" s="4" customFormat="1" ht="30" customHeight="1" x14ac:dyDescent="0.25">
      <c r="A277" s="27">
        <v>271</v>
      </c>
      <c r="B277" s="10" t="s">
        <v>839</v>
      </c>
      <c r="C277" s="57" t="s">
        <v>840</v>
      </c>
      <c r="D277" s="57" t="s">
        <v>994</v>
      </c>
      <c r="E277" s="83" t="s">
        <v>841</v>
      </c>
      <c r="F277" s="83"/>
      <c r="G277" s="27"/>
      <c r="H277" s="101" t="str">
        <f t="shared" si="4"/>
        <v>NECOMPLETAT</v>
      </c>
      <c r="I277" s="4" t="s">
        <v>3181</v>
      </c>
      <c r="J277" s="4" t="s">
        <v>3183</v>
      </c>
      <c r="K277" s="4" t="s">
        <v>3183</v>
      </c>
      <c r="M277" s="120" t="s">
        <v>3172</v>
      </c>
      <c r="N277" s="120"/>
      <c r="O277" s="120"/>
      <c r="P277" s="120"/>
      <c r="R277" s="122" t="s">
        <v>3172</v>
      </c>
      <c r="S277" s="122"/>
      <c r="T277" s="122"/>
      <c r="U277" s="122"/>
    </row>
    <row r="278" spans="1:21" s="4" customFormat="1" ht="45" customHeight="1" x14ac:dyDescent="0.25">
      <c r="A278" s="27">
        <v>272</v>
      </c>
      <c r="B278" s="11" t="s">
        <v>842</v>
      </c>
      <c r="C278" s="57" t="s">
        <v>843</v>
      </c>
      <c r="D278" s="57" t="s">
        <v>844</v>
      </c>
      <c r="E278" s="83" t="s">
        <v>845</v>
      </c>
      <c r="F278" s="83"/>
      <c r="G278" s="27"/>
      <c r="H278" s="101" t="str">
        <f t="shared" si="4"/>
        <v>NECOMPLETAT</v>
      </c>
      <c r="I278" s="4" t="s">
        <v>3181</v>
      </c>
      <c r="J278" s="4" t="s">
        <v>3183</v>
      </c>
      <c r="K278" s="4" t="s">
        <v>3183</v>
      </c>
      <c r="M278" s="34"/>
      <c r="N278" s="35"/>
      <c r="O278" s="35"/>
      <c r="P278" s="36"/>
      <c r="R278" s="123" t="s">
        <v>3175</v>
      </c>
      <c r="S278" s="123"/>
      <c r="T278" s="123"/>
      <c r="U278" s="123"/>
    </row>
    <row r="279" spans="1:21" s="4" customFormat="1" ht="45" customHeight="1" x14ac:dyDescent="0.25">
      <c r="A279" s="27">
        <v>273</v>
      </c>
      <c r="B279" s="10" t="s">
        <v>846</v>
      </c>
      <c r="C279" s="57" t="s">
        <v>847</v>
      </c>
      <c r="D279" s="57" t="s">
        <v>848</v>
      </c>
      <c r="E279" s="83" t="s">
        <v>423</v>
      </c>
      <c r="F279" s="40"/>
      <c r="G279" s="27"/>
      <c r="H279" s="101" t="str">
        <f t="shared" si="4"/>
        <v>NECOMPLETAT</v>
      </c>
      <c r="I279" s="4" t="s">
        <v>3183</v>
      </c>
      <c r="J279" s="4" t="s">
        <v>3182</v>
      </c>
      <c r="K279" s="4" t="s">
        <v>3183</v>
      </c>
      <c r="M279" s="121" t="s">
        <v>3173</v>
      </c>
      <c r="N279" s="121"/>
      <c r="O279" s="121"/>
      <c r="P279" s="121"/>
      <c r="R279" s="39"/>
      <c r="S279" s="40"/>
      <c r="T279" s="38"/>
      <c r="U279" s="41"/>
    </row>
    <row r="280" spans="1:21" s="4" customFormat="1" ht="45" customHeight="1" x14ac:dyDescent="0.25">
      <c r="A280" s="27">
        <v>274</v>
      </c>
      <c r="B280" s="10" t="s">
        <v>849</v>
      </c>
      <c r="C280" s="57" t="s">
        <v>850</v>
      </c>
      <c r="D280" s="57" t="s">
        <v>423</v>
      </c>
      <c r="E280" s="83" t="s">
        <v>848</v>
      </c>
      <c r="F280" s="40"/>
      <c r="G280" s="27"/>
      <c r="H280" s="101" t="str">
        <f t="shared" si="4"/>
        <v>NECOMPLETAT</v>
      </c>
      <c r="I280" s="4" t="s">
        <v>3183</v>
      </c>
      <c r="J280" s="4" t="s">
        <v>3182</v>
      </c>
      <c r="K280" s="4" t="s">
        <v>3183</v>
      </c>
      <c r="M280" s="34"/>
      <c r="N280" s="35"/>
      <c r="O280" s="35"/>
      <c r="P280" s="36"/>
      <c r="R280" s="42"/>
      <c r="S280" s="40"/>
      <c r="T280" s="40"/>
      <c r="U280" s="41"/>
    </row>
    <row r="281" spans="1:21" s="4" customFormat="1" ht="30" customHeight="1" x14ac:dyDescent="0.25">
      <c r="A281" s="27">
        <v>275</v>
      </c>
      <c r="B281" s="10" t="s">
        <v>851</v>
      </c>
      <c r="C281" s="57" t="s">
        <v>852</v>
      </c>
      <c r="D281" s="57" t="s">
        <v>996</v>
      </c>
      <c r="E281" s="83" t="s">
        <v>995</v>
      </c>
      <c r="F281" s="43"/>
      <c r="G281" s="27"/>
      <c r="H281" s="101" t="str">
        <f t="shared" si="4"/>
        <v>NECOMPLETAT</v>
      </c>
      <c r="I281" s="4" t="s">
        <v>3183</v>
      </c>
      <c r="J281" s="4" t="s">
        <v>3183</v>
      </c>
      <c r="K281" s="4" t="s">
        <v>3180</v>
      </c>
      <c r="M281" s="37" t="s">
        <v>3174</v>
      </c>
      <c r="N281" s="37" t="s">
        <v>0</v>
      </c>
      <c r="O281" s="37" t="s">
        <v>1</v>
      </c>
      <c r="P281" s="37" t="s">
        <v>2</v>
      </c>
      <c r="R281" s="43" t="s">
        <v>3176</v>
      </c>
      <c r="S281" s="43" t="s">
        <v>0</v>
      </c>
      <c r="T281" s="43" t="s">
        <v>1</v>
      </c>
      <c r="U281" s="43" t="s">
        <v>2</v>
      </c>
    </row>
    <row r="282" spans="1:21" s="4" customFormat="1" ht="75" x14ac:dyDescent="0.25">
      <c r="A282" s="27">
        <v>276</v>
      </c>
      <c r="B282" s="8" t="s">
        <v>1040</v>
      </c>
      <c r="C282" s="62" t="s">
        <v>1041</v>
      </c>
      <c r="D282" s="62" t="s">
        <v>1042</v>
      </c>
      <c r="E282" s="86" t="s">
        <v>1043</v>
      </c>
      <c r="G282" s="27"/>
      <c r="H282" s="101" t="str">
        <f t="shared" si="4"/>
        <v>NECOMPLETAT</v>
      </c>
      <c r="I282" s="4" t="s">
        <v>3183</v>
      </c>
      <c r="J282" s="4" t="s">
        <v>3183</v>
      </c>
      <c r="K282" s="4" t="s">
        <v>3180</v>
      </c>
    </row>
    <row r="283" spans="1:21" ht="75" x14ac:dyDescent="0.25">
      <c r="A283" s="27">
        <v>277</v>
      </c>
      <c r="B283" s="14" t="s">
        <v>1044</v>
      </c>
      <c r="C283" s="63" t="s">
        <v>1045</v>
      </c>
      <c r="D283" s="63" t="s">
        <v>1046</v>
      </c>
      <c r="E283" s="87" t="s">
        <v>1047</v>
      </c>
      <c r="G283" s="27"/>
      <c r="H283" s="101" t="str">
        <f t="shared" si="4"/>
        <v>NECOMPLETAT</v>
      </c>
      <c r="I283" s="4" t="s">
        <v>3183</v>
      </c>
      <c r="J283" s="4" t="s">
        <v>3183</v>
      </c>
      <c r="K283" s="4" t="s">
        <v>3180</v>
      </c>
      <c r="L283" s="4"/>
    </row>
    <row r="284" spans="1:21" ht="75" x14ac:dyDescent="0.25">
      <c r="A284" s="27">
        <v>278</v>
      </c>
      <c r="B284" s="8" t="s">
        <v>1044</v>
      </c>
      <c r="C284" s="62" t="s">
        <v>1048</v>
      </c>
      <c r="D284" s="62" t="s">
        <v>1049</v>
      </c>
      <c r="E284" s="86" t="s">
        <v>1050</v>
      </c>
      <c r="G284" s="27"/>
      <c r="H284" s="101" t="str">
        <f t="shared" si="4"/>
        <v>NECOMPLETAT</v>
      </c>
      <c r="I284" s="4" t="s">
        <v>3183</v>
      </c>
      <c r="J284" s="4" t="s">
        <v>3182</v>
      </c>
      <c r="K284" s="4" t="s">
        <v>3183</v>
      </c>
      <c r="L284" s="4"/>
    </row>
    <row r="285" spans="1:21" ht="30" x14ac:dyDescent="0.25">
      <c r="A285" s="27">
        <v>279</v>
      </c>
      <c r="B285" s="8" t="s">
        <v>1051</v>
      </c>
      <c r="C285" s="62" t="s">
        <v>1052</v>
      </c>
      <c r="D285" s="62" t="s">
        <v>1053</v>
      </c>
      <c r="E285" s="86" t="s">
        <v>1054</v>
      </c>
      <c r="G285" s="27"/>
      <c r="H285" s="101" t="str">
        <f t="shared" si="4"/>
        <v>NECOMPLETAT</v>
      </c>
      <c r="I285" s="4" t="s">
        <v>3183</v>
      </c>
      <c r="J285" s="4" t="s">
        <v>3182</v>
      </c>
      <c r="K285" s="4" t="s">
        <v>3183</v>
      </c>
      <c r="L285" s="4"/>
    </row>
    <row r="286" spans="1:21" ht="75" x14ac:dyDescent="0.25">
      <c r="A286" s="27">
        <v>280</v>
      </c>
      <c r="B286" s="8" t="s">
        <v>1055</v>
      </c>
      <c r="C286" s="62" t="s">
        <v>1056</v>
      </c>
      <c r="D286" s="62" t="s">
        <v>1057</v>
      </c>
      <c r="E286" s="86" t="s">
        <v>1058</v>
      </c>
      <c r="G286" s="27"/>
      <c r="H286" s="101" t="str">
        <f t="shared" si="4"/>
        <v>NECOMPLETAT</v>
      </c>
      <c r="I286" s="4" t="s">
        <v>3183</v>
      </c>
      <c r="J286" s="4" t="s">
        <v>3182</v>
      </c>
      <c r="K286" s="4" t="s">
        <v>3183</v>
      </c>
      <c r="L286" s="4"/>
    </row>
    <row r="287" spans="1:21" ht="90" x14ac:dyDescent="0.25">
      <c r="A287" s="27">
        <v>281</v>
      </c>
      <c r="B287" s="8" t="s">
        <v>1059</v>
      </c>
      <c r="C287" s="62" t="s">
        <v>1060</v>
      </c>
      <c r="D287" s="62" t="s">
        <v>1061</v>
      </c>
      <c r="E287" s="86" t="s">
        <v>1062</v>
      </c>
      <c r="G287" s="27"/>
      <c r="H287" s="101" t="str">
        <f t="shared" si="4"/>
        <v>NECOMPLETAT</v>
      </c>
      <c r="I287" s="4" t="s">
        <v>3183</v>
      </c>
      <c r="J287" s="4" t="s">
        <v>3182</v>
      </c>
      <c r="K287" s="4" t="s">
        <v>3183</v>
      </c>
      <c r="L287" s="4"/>
    </row>
    <row r="288" spans="1:21" ht="60" x14ac:dyDescent="0.25">
      <c r="A288" s="27">
        <v>282</v>
      </c>
      <c r="B288" s="8" t="s">
        <v>1063</v>
      </c>
      <c r="C288" s="62" t="s">
        <v>1064</v>
      </c>
      <c r="D288" s="62" t="s">
        <v>1065</v>
      </c>
      <c r="E288" s="86" t="s">
        <v>1066</v>
      </c>
      <c r="G288" s="27"/>
      <c r="H288" s="101" t="str">
        <f t="shared" si="4"/>
        <v>NECOMPLETAT</v>
      </c>
      <c r="I288" s="4" t="s">
        <v>3183</v>
      </c>
      <c r="J288" s="4" t="s">
        <v>3182</v>
      </c>
      <c r="K288" s="4" t="s">
        <v>3183</v>
      </c>
      <c r="L288" s="4"/>
    </row>
    <row r="289" spans="1:12" ht="45" x14ac:dyDescent="0.25">
      <c r="A289" s="27">
        <v>283</v>
      </c>
      <c r="B289" s="8" t="s">
        <v>1067</v>
      </c>
      <c r="C289" s="62" t="s">
        <v>1068</v>
      </c>
      <c r="D289" s="62" t="s">
        <v>1069</v>
      </c>
      <c r="E289" s="86" t="s">
        <v>1070</v>
      </c>
      <c r="G289" s="27"/>
      <c r="H289" s="101" t="str">
        <f t="shared" si="4"/>
        <v>NECOMPLETAT</v>
      </c>
      <c r="I289" s="4" t="s">
        <v>3183</v>
      </c>
      <c r="J289" s="4" t="s">
        <v>3182</v>
      </c>
      <c r="K289" s="4" t="s">
        <v>3183</v>
      </c>
      <c r="L289" s="4"/>
    </row>
    <row r="290" spans="1:12" ht="60" x14ac:dyDescent="0.25">
      <c r="A290" s="27">
        <v>284</v>
      </c>
      <c r="B290" s="8" t="s">
        <v>1071</v>
      </c>
      <c r="C290" s="62" t="s">
        <v>1072</v>
      </c>
      <c r="D290" s="62" t="s">
        <v>1073</v>
      </c>
      <c r="E290" s="86" t="s">
        <v>1074</v>
      </c>
      <c r="G290" s="27"/>
      <c r="H290" s="101" t="str">
        <f t="shared" si="4"/>
        <v>NECOMPLETAT</v>
      </c>
      <c r="I290" s="4" t="s">
        <v>3183</v>
      </c>
      <c r="J290" s="4" t="s">
        <v>3182</v>
      </c>
      <c r="K290" s="4" t="s">
        <v>3183</v>
      </c>
      <c r="L290" s="4"/>
    </row>
    <row r="291" spans="1:12" ht="45" x14ac:dyDescent="0.25">
      <c r="A291" s="27">
        <v>285</v>
      </c>
      <c r="B291" s="8" t="s">
        <v>1075</v>
      </c>
      <c r="C291" s="62" t="s">
        <v>1076</v>
      </c>
      <c r="D291" s="62" t="s">
        <v>1077</v>
      </c>
      <c r="E291" s="86" t="s">
        <v>1078</v>
      </c>
      <c r="G291" s="27"/>
      <c r="H291" s="101" t="str">
        <f t="shared" si="4"/>
        <v>NECOMPLETAT</v>
      </c>
      <c r="I291" s="4" t="s">
        <v>3181</v>
      </c>
      <c r="J291" s="4" t="s">
        <v>3183</v>
      </c>
      <c r="K291" s="4" t="s">
        <v>3183</v>
      </c>
      <c r="L291" s="4"/>
    </row>
    <row r="292" spans="1:12" ht="45" x14ac:dyDescent="0.25">
      <c r="A292" s="27">
        <v>286</v>
      </c>
      <c r="B292" s="8" t="s">
        <v>1079</v>
      </c>
      <c r="C292" s="62" t="s">
        <v>1080</v>
      </c>
      <c r="D292" s="62" t="s">
        <v>1081</v>
      </c>
      <c r="E292" s="86" t="s">
        <v>1082</v>
      </c>
      <c r="G292" s="27"/>
      <c r="H292" s="101" t="str">
        <f t="shared" si="4"/>
        <v>NECOMPLETAT</v>
      </c>
      <c r="I292" s="4" t="s">
        <v>3183</v>
      </c>
      <c r="J292" s="4" t="s">
        <v>3182</v>
      </c>
      <c r="K292" s="4" t="s">
        <v>3183</v>
      </c>
      <c r="L292" s="4"/>
    </row>
    <row r="293" spans="1:12" ht="45" x14ac:dyDescent="0.25">
      <c r="A293" s="27">
        <v>287</v>
      </c>
      <c r="B293" s="8" t="s">
        <v>1083</v>
      </c>
      <c r="C293" s="62" t="s">
        <v>1084</v>
      </c>
      <c r="D293" s="62" t="s">
        <v>1085</v>
      </c>
      <c r="E293" s="86" t="s">
        <v>1086</v>
      </c>
      <c r="G293" s="27"/>
      <c r="H293" s="101" t="str">
        <f t="shared" si="4"/>
        <v>NECOMPLETAT</v>
      </c>
      <c r="I293" s="4" t="s">
        <v>3183</v>
      </c>
      <c r="J293" s="4" t="s">
        <v>3182</v>
      </c>
      <c r="K293" s="4" t="s">
        <v>3183</v>
      </c>
      <c r="L293" s="4"/>
    </row>
    <row r="294" spans="1:12" ht="75" x14ac:dyDescent="0.25">
      <c r="A294" s="27">
        <v>288</v>
      </c>
      <c r="B294" s="8" t="s">
        <v>1087</v>
      </c>
      <c r="C294" s="62" t="s">
        <v>1088</v>
      </c>
      <c r="D294" s="62" t="s">
        <v>1089</v>
      </c>
      <c r="E294" s="86" t="s">
        <v>1090</v>
      </c>
      <c r="G294" s="27"/>
      <c r="H294" s="101" t="str">
        <f t="shared" si="4"/>
        <v>NECOMPLETAT</v>
      </c>
      <c r="I294" s="4" t="s">
        <v>3181</v>
      </c>
      <c r="J294" s="4" t="s">
        <v>3183</v>
      </c>
      <c r="K294" s="4" t="s">
        <v>3183</v>
      </c>
      <c r="L294" s="4"/>
    </row>
    <row r="295" spans="1:12" ht="75" x14ac:dyDescent="0.25">
      <c r="A295" s="27">
        <v>289</v>
      </c>
      <c r="B295" s="8" t="s">
        <v>1091</v>
      </c>
      <c r="C295" s="62" t="s">
        <v>1092</v>
      </c>
      <c r="D295" s="62" t="s">
        <v>1093</v>
      </c>
      <c r="E295" s="86" t="s">
        <v>1094</v>
      </c>
      <c r="G295" s="27"/>
      <c r="H295" s="101" t="str">
        <f t="shared" si="4"/>
        <v>NECOMPLETAT</v>
      </c>
      <c r="I295" s="4" t="s">
        <v>3183</v>
      </c>
      <c r="J295" s="4" t="s">
        <v>3182</v>
      </c>
      <c r="K295" s="4" t="s">
        <v>3183</v>
      </c>
      <c r="L295" s="4"/>
    </row>
    <row r="296" spans="1:12" ht="90" x14ac:dyDescent="0.25">
      <c r="A296" s="27">
        <v>290</v>
      </c>
      <c r="B296" s="8" t="s">
        <v>1095</v>
      </c>
      <c r="C296" s="62" t="s">
        <v>1096</v>
      </c>
      <c r="D296" s="62" t="s">
        <v>1097</v>
      </c>
      <c r="E296" s="86" t="s">
        <v>1098</v>
      </c>
      <c r="G296" s="27"/>
      <c r="H296" s="101" t="str">
        <f t="shared" si="4"/>
        <v>NECOMPLETAT</v>
      </c>
      <c r="I296" s="4" t="s">
        <v>3181</v>
      </c>
      <c r="J296" s="4" t="s">
        <v>3183</v>
      </c>
      <c r="K296" s="4" t="s">
        <v>3183</v>
      </c>
      <c r="L296" s="4"/>
    </row>
    <row r="297" spans="1:12" ht="90" x14ac:dyDescent="0.25">
      <c r="A297" s="27">
        <v>291</v>
      </c>
      <c r="B297" s="8" t="s">
        <v>1099</v>
      </c>
      <c r="C297" s="64">
        <v>0.2</v>
      </c>
      <c r="D297" s="64">
        <v>0.25</v>
      </c>
      <c r="E297" s="88">
        <v>0.12</v>
      </c>
      <c r="G297" s="27"/>
      <c r="H297" s="101" t="str">
        <f t="shared" si="4"/>
        <v>NECOMPLETAT</v>
      </c>
      <c r="I297" s="4" t="s">
        <v>3183</v>
      </c>
      <c r="J297" s="4" t="s">
        <v>3183</v>
      </c>
      <c r="K297" s="4" t="s">
        <v>3180</v>
      </c>
      <c r="L297" s="4"/>
    </row>
    <row r="298" spans="1:12" ht="45" x14ac:dyDescent="0.25">
      <c r="A298" s="27">
        <v>292</v>
      </c>
      <c r="B298" s="8" t="s">
        <v>1100</v>
      </c>
      <c r="C298" s="62" t="s">
        <v>1101</v>
      </c>
      <c r="D298" s="62" t="s">
        <v>1102</v>
      </c>
      <c r="E298" s="86" t="s">
        <v>1103</v>
      </c>
      <c r="G298" s="27"/>
      <c r="H298" s="101" t="str">
        <f t="shared" si="4"/>
        <v>NECOMPLETAT</v>
      </c>
      <c r="I298" s="4" t="s">
        <v>3183</v>
      </c>
      <c r="J298" s="4" t="s">
        <v>3182</v>
      </c>
      <c r="K298" s="4" t="s">
        <v>3183</v>
      </c>
      <c r="L298" s="4"/>
    </row>
    <row r="299" spans="1:12" ht="60" x14ac:dyDescent="0.25">
      <c r="A299" s="27">
        <v>293</v>
      </c>
      <c r="B299" s="8" t="s">
        <v>1104</v>
      </c>
      <c r="C299" s="62" t="s">
        <v>1105</v>
      </c>
      <c r="D299" s="62" t="s">
        <v>1106</v>
      </c>
      <c r="E299" s="86" t="s">
        <v>1107</v>
      </c>
      <c r="G299" s="27"/>
      <c r="H299" s="101" t="str">
        <f t="shared" si="4"/>
        <v>NECOMPLETAT</v>
      </c>
      <c r="I299" s="4" t="s">
        <v>3183</v>
      </c>
      <c r="J299" s="4" t="s">
        <v>3182</v>
      </c>
      <c r="K299" s="4" t="s">
        <v>3183</v>
      </c>
      <c r="L299" s="4"/>
    </row>
    <row r="300" spans="1:12" ht="75" x14ac:dyDescent="0.25">
      <c r="A300" s="27">
        <v>294</v>
      </c>
      <c r="B300" s="8" t="s">
        <v>1108</v>
      </c>
      <c r="C300" s="62" t="s">
        <v>1109</v>
      </c>
      <c r="D300" s="62" t="s">
        <v>1110</v>
      </c>
      <c r="E300" s="86" t="s">
        <v>1111</v>
      </c>
      <c r="G300" s="27"/>
      <c r="H300" s="101" t="str">
        <f t="shared" si="4"/>
        <v>NECOMPLETAT</v>
      </c>
      <c r="I300" s="4" t="s">
        <v>3183</v>
      </c>
      <c r="J300" s="4" t="s">
        <v>3182</v>
      </c>
      <c r="K300" s="4" t="s">
        <v>3183</v>
      </c>
      <c r="L300" s="4"/>
    </row>
    <row r="301" spans="1:12" ht="75" x14ac:dyDescent="0.25">
      <c r="A301" s="27">
        <v>295</v>
      </c>
      <c r="B301" s="8" t="s">
        <v>1112</v>
      </c>
      <c r="C301" s="62" t="s">
        <v>1113</v>
      </c>
      <c r="D301" s="62" t="s">
        <v>1114</v>
      </c>
      <c r="E301" s="86" t="s">
        <v>1115</v>
      </c>
      <c r="G301" s="27"/>
      <c r="H301" s="101" t="str">
        <f t="shared" si="4"/>
        <v>NECOMPLETAT</v>
      </c>
      <c r="I301" s="4" t="s">
        <v>3181</v>
      </c>
      <c r="J301" s="4" t="s">
        <v>3183</v>
      </c>
      <c r="K301" s="4" t="s">
        <v>3183</v>
      </c>
      <c r="L301" s="4"/>
    </row>
    <row r="302" spans="1:12" ht="90" x14ac:dyDescent="0.25">
      <c r="A302" s="27">
        <v>296</v>
      </c>
      <c r="B302" s="8" t="s">
        <v>1116</v>
      </c>
      <c r="C302" s="62" t="s">
        <v>1117</v>
      </c>
      <c r="D302" s="62" t="s">
        <v>1118</v>
      </c>
      <c r="E302" s="86" t="s">
        <v>1119</v>
      </c>
      <c r="G302" s="27"/>
      <c r="H302" s="101" t="str">
        <f t="shared" si="4"/>
        <v>NECOMPLETAT</v>
      </c>
      <c r="I302" s="4" t="s">
        <v>3183</v>
      </c>
      <c r="J302" s="4" t="s">
        <v>3183</v>
      </c>
      <c r="K302" s="4" t="s">
        <v>3180</v>
      </c>
      <c r="L302" s="4"/>
    </row>
    <row r="303" spans="1:12" ht="30" x14ac:dyDescent="0.25">
      <c r="A303" s="27">
        <v>297</v>
      </c>
      <c r="B303" s="8" t="s">
        <v>1120</v>
      </c>
      <c r="C303" s="62" t="s">
        <v>1121</v>
      </c>
      <c r="D303" s="62" t="s">
        <v>1122</v>
      </c>
      <c r="E303" s="86" t="s">
        <v>1123</v>
      </c>
      <c r="G303" s="27"/>
      <c r="H303" s="101" t="str">
        <f t="shared" si="4"/>
        <v>NECOMPLETAT</v>
      </c>
      <c r="I303" s="4" t="s">
        <v>3181</v>
      </c>
      <c r="J303" s="4" t="s">
        <v>3183</v>
      </c>
      <c r="K303" s="4" t="s">
        <v>3183</v>
      </c>
      <c r="L303" s="4"/>
    </row>
    <row r="304" spans="1:12" ht="45" x14ac:dyDescent="0.25">
      <c r="A304" s="27">
        <v>298</v>
      </c>
      <c r="B304" s="8" t="s">
        <v>1124</v>
      </c>
      <c r="C304" s="62" t="s">
        <v>1125</v>
      </c>
      <c r="D304" s="62" t="s">
        <v>1126</v>
      </c>
      <c r="E304" s="86" t="s">
        <v>1127</v>
      </c>
      <c r="G304" s="27"/>
      <c r="H304" s="101" t="str">
        <f t="shared" si="4"/>
        <v>NECOMPLETAT</v>
      </c>
      <c r="I304" s="4" t="s">
        <v>3183</v>
      </c>
      <c r="J304" s="4" t="s">
        <v>3182</v>
      </c>
      <c r="K304" s="4" t="s">
        <v>3183</v>
      </c>
      <c r="L304" s="4"/>
    </row>
    <row r="305" spans="1:12" ht="60" x14ac:dyDescent="0.25">
      <c r="A305" s="27">
        <v>299</v>
      </c>
      <c r="B305" s="8" t="s">
        <v>1128</v>
      </c>
      <c r="C305" s="62" t="s">
        <v>1129</v>
      </c>
      <c r="D305" s="62" t="s">
        <v>1130</v>
      </c>
      <c r="E305" s="86" t="s">
        <v>1131</v>
      </c>
      <c r="G305" s="27"/>
      <c r="H305" s="101" t="str">
        <f t="shared" si="4"/>
        <v>NECOMPLETAT</v>
      </c>
      <c r="I305" s="4" t="s">
        <v>3183</v>
      </c>
      <c r="J305" s="4" t="s">
        <v>3183</v>
      </c>
      <c r="K305" s="4" t="s">
        <v>3180</v>
      </c>
      <c r="L305" s="4"/>
    </row>
    <row r="306" spans="1:12" ht="60" x14ac:dyDescent="0.25">
      <c r="A306" s="27">
        <v>300</v>
      </c>
      <c r="B306" s="8" t="s">
        <v>1132</v>
      </c>
      <c r="C306" s="62" t="s">
        <v>1133</v>
      </c>
      <c r="D306" s="62" t="s">
        <v>1134</v>
      </c>
      <c r="E306" s="86" t="s">
        <v>1135</v>
      </c>
      <c r="G306" s="27"/>
      <c r="H306" s="101" t="str">
        <f t="shared" si="4"/>
        <v>NECOMPLETAT</v>
      </c>
      <c r="I306" s="4" t="s">
        <v>3181</v>
      </c>
      <c r="J306" s="4" t="s">
        <v>3183</v>
      </c>
      <c r="K306" s="4" t="s">
        <v>3183</v>
      </c>
      <c r="L306" s="4"/>
    </row>
    <row r="307" spans="1:12" ht="75" x14ac:dyDescent="0.25">
      <c r="A307" s="27">
        <v>301</v>
      </c>
      <c r="B307" s="15" t="s">
        <v>1136</v>
      </c>
      <c r="C307" s="62" t="s">
        <v>1137</v>
      </c>
      <c r="D307" s="62" t="s">
        <v>1138</v>
      </c>
      <c r="E307" s="86" t="s">
        <v>1139</v>
      </c>
      <c r="G307" s="27"/>
      <c r="H307" s="101" t="str">
        <f t="shared" si="4"/>
        <v>NECOMPLETAT</v>
      </c>
      <c r="I307" s="4" t="s">
        <v>3183</v>
      </c>
      <c r="J307" s="4" t="s">
        <v>3182</v>
      </c>
      <c r="K307" s="4" t="s">
        <v>3183</v>
      </c>
      <c r="L307" s="4"/>
    </row>
    <row r="308" spans="1:12" ht="45" x14ac:dyDescent="0.25">
      <c r="A308" s="27">
        <v>302</v>
      </c>
      <c r="B308" s="8" t="s">
        <v>1136</v>
      </c>
      <c r="C308" s="62" t="s">
        <v>1137</v>
      </c>
      <c r="D308" s="62" t="s">
        <v>1140</v>
      </c>
      <c r="E308" s="86" t="s">
        <v>1141</v>
      </c>
      <c r="G308" s="27"/>
      <c r="H308" s="101" t="str">
        <f t="shared" si="4"/>
        <v>NECOMPLETAT</v>
      </c>
      <c r="I308" s="4" t="s">
        <v>3183</v>
      </c>
      <c r="J308" s="4" t="s">
        <v>3183</v>
      </c>
      <c r="K308" s="4" t="s">
        <v>3180</v>
      </c>
      <c r="L308" s="4"/>
    </row>
    <row r="309" spans="1:12" ht="30" x14ac:dyDescent="0.25">
      <c r="A309" s="27">
        <v>303</v>
      </c>
      <c r="B309" s="8" t="s">
        <v>1142</v>
      </c>
      <c r="C309" s="62" t="s">
        <v>1143</v>
      </c>
      <c r="D309" s="62" t="s">
        <v>1144</v>
      </c>
      <c r="E309" s="86" t="s">
        <v>1145</v>
      </c>
      <c r="G309" s="27"/>
      <c r="H309" s="101" t="str">
        <f t="shared" si="4"/>
        <v>NECOMPLETAT</v>
      </c>
      <c r="I309" s="4" t="s">
        <v>3183</v>
      </c>
      <c r="J309" s="4" t="s">
        <v>3183</v>
      </c>
      <c r="K309" s="4" t="s">
        <v>3180</v>
      </c>
      <c r="L309" s="4"/>
    </row>
    <row r="310" spans="1:12" ht="75" x14ac:dyDescent="0.25">
      <c r="A310" s="27">
        <v>304</v>
      </c>
      <c r="B310" s="8" t="s">
        <v>1146</v>
      </c>
      <c r="C310" s="62" t="s">
        <v>1147</v>
      </c>
      <c r="D310" s="62" t="s">
        <v>1148</v>
      </c>
      <c r="E310" s="86" t="s">
        <v>1149</v>
      </c>
      <c r="G310" s="27"/>
      <c r="H310" s="101" t="str">
        <f t="shared" si="4"/>
        <v>NECOMPLETAT</v>
      </c>
      <c r="I310" s="4" t="s">
        <v>3183</v>
      </c>
      <c r="J310" s="4" t="s">
        <v>3183</v>
      </c>
      <c r="K310" s="4" t="s">
        <v>3180</v>
      </c>
      <c r="L310" s="4"/>
    </row>
    <row r="311" spans="1:12" ht="105" x14ac:dyDescent="0.25">
      <c r="A311" s="27">
        <v>305</v>
      </c>
      <c r="B311" s="8" t="s">
        <v>1150</v>
      </c>
      <c r="C311" s="62" t="s">
        <v>1151</v>
      </c>
      <c r="D311" s="62" t="s">
        <v>1152</v>
      </c>
      <c r="E311" s="86" t="s">
        <v>1153</v>
      </c>
      <c r="G311" s="27"/>
      <c r="H311" s="101" t="str">
        <f t="shared" si="4"/>
        <v>NECOMPLETAT</v>
      </c>
      <c r="I311" s="4" t="s">
        <v>3183</v>
      </c>
      <c r="J311" s="4" t="s">
        <v>3182</v>
      </c>
      <c r="K311" s="4" t="s">
        <v>3183</v>
      </c>
      <c r="L311" s="4"/>
    </row>
    <row r="312" spans="1:12" ht="30" x14ac:dyDescent="0.25">
      <c r="A312" s="27">
        <v>306</v>
      </c>
      <c r="B312" s="8" t="s">
        <v>1154</v>
      </c>
      <c r="C312" s="62" t="s">
        <v>1155</v>
      </c>
      <c r="D312" s="62" t="s">
        <v>1156</v>
      </c>
      <c r="E312" s="86" t="s">
        <v>1157</v>
      </c>
      <c r="G312" s="27"/>
      <c r="H312" s="101" t="str">
        <f t="shared" si="4"/>
        <v>NECOMPLETAT</v>
      </c>
      <c r="I312" s="4" t="s">
        <v>3183</v>
      </c>
      <c r="J312" s="4" t="s">
        <v>3182</v>
      </c>
      <c r="K312" s="4" t="s">
        <v>3183</v>
      </c>
      <c r="L312" s="4"/>
    </row>
    <row r="313" spans="1:12" ht="60" x14ac:dyDescent="0.25">
      <c r="A313" s="27">
        <v>307</v>
      </c>
      <c r="B313" s="8" t="s">
        <v>1158</v>
      </c>
      <c r="C313" s="62" t="s">
        <v>1159</v>
      </c>
      <c r="D313" s="62" t="s">
        <v>1160</v>
      </c>
      <c r="E313" s="86" t="s">
        <v>1161</v>
      </c>
      <c r="G313" s="27"/>
      <c r="H313" s="101" t="str">
        <f t="shared" si="4"/>
        <v>NECOMPLETAT</v>
      </c>
      <c r="I313" s="4" t="s">
        <v>3183</v>
      </c>
      <c r="J313" s="4" t="s">
        <v>3182</v>
      </c>
      <c r="K313" s="4" t="s">
        <v>3183</v>
      </c>
      <c r="L313" s="4"/>
    </row>
    <row r="314" spans="1:12" ht="60" x14ac:dyDescent="0.25">
      <c r="A314" s="27">
        <v>308</v>
      </c>
      <c r="B314" s="8" t="s">
        <v>1162</v>
      </c>
      <c r="C314" s="62" t="s">
        <v>1163</v>
      </c>
      <c r="D314" s="62" t="s">
        <v>1164</v>
      </c>
      <c r="E314" s="86" t="s">
        <v>1165</v>
      </c>
      <c r="G314" s="27"/>
      <c r="H314" s="101" t="str">
        <f t="shared" si="4"/>
        <v>NECOMPLETAT</v>
      </c>
      <c r="I314" s="4" t="s">
        <v>3181</v>
      </c>
      <c r="J314" s="4" t="s">
        <v>3183</v>
      </c>
      <c r="K314" s="4" t="s">
        <v>3183</v>
      </c>
      <c r="L314" s="4"/>
    </row>
    <row r="315" spans="1:12" ht="60" x14ac:dyDescent="0.25">
      <c r="A315" s="27">
        <v>309</v>
      </c>
      <c r="B315" s="8" t="s">
        <v>1166</v>
      </c>
      <c r="C315" s="62" t="s">
        <v>1167</v>
      </c>
      <c r="D315" s="62" t="s">
        <v>1168</v>
      </c>
      <c r="E315" s="86" t="s">
        <v>1169</v>
      </c>
      <c r="G315" s="27"/>
      <c r="H315" s="101" t="str">
        <f t="shared" si="4"/>
        <v>NECOMPLETAT</v>
      </c>
      <c r="I315" s="4" t="s">
        <v>3183</v>
      </c>
      <c r="J315" s="4" t="s">
        <v>3183</v>
      </c>
      <c r="K315" s="4" t="s">
        <v>3180</v>
      </c>
      <c r="L315" s="4"/>
    </row>
    <row r="316" spans="1:12" ht="75" x14ac:dyDescent="0.25">
      <c r="A316" s="27">
        <v>310</v>
      </c>
      <c r="B316" s="15" t="s">
        <v>1170</v>
      </c>
      <c r="C316" s="62" t="s">
        <v>1171</v>
      </c>
      <c r="D316" s="62" t="s">
        <v>1172</v>
      </c>
      <c r="E316" s="86" t="s">
        <v>1173</v>
      </c>
      <c r="G316" s="27"/>
      <c r="H316" s="101" t="str">
        <f t="shared" si="4"/>
        <v>NECOMPLETAT</v>
      </c>
      <c r="I316" s="4" t="s">
        <v>3183</v>
      </c>
      <c r="J316" s="4" t="s">
        <v>3182</v>
      </c>
      <c r="K316" s="4" t="s">
        <v>3183</v>
      </c>
      <c r="L316" s="4"/>
    </row>
    <row r="317" spans="1:12" ht="75" x14ac:dyDescent="0.25">
      <c r="A317" s="27">
        <v>311</v>
      </c>
      <c r="B317" s="8" t="s">
        <v>1170</v>
      </c>
      <c r="C317" s="62" t="s">
        <v>1174</v>
      </c>
      <c r="D317" s="62" t="s">
        <v>1175</v>
      </c>
      <c r="E317" s="86" t="s">
        <v>1173</v>
      </c>
      <c r="G317" s="27"/>
      <c r="H317" s="101" t="str">
        <f t="shared" si="4"/>
        <v>NECOMPLETAT</v>
      </c>
      <c r="I317" s="4" t="s">
        <v>3181</v>
      </c>
      <c r="J317" s="4" t="s">
        <v>3183</v>
      </c>
      <c r="K317" s="4" t="s">
        <v>3183</v>
      </c>
      <c r="L317" s="4"/>
    </row>
    <row r="318" spans="1:12" ht="60" x14ac:dyDescent="0.25">
      <c r="A318" s="27">
        <v>312</v>
      </c>
      <c r="B318" s="8" t="s">
        <v>1176</v>
      </c>
      <c r="C318" s="62" t="s">
        <v>1177</v>
      </c>
      <c r="D318" s="62" t="s">
        <v>1178</v>
      </c>
      <c r="E318" s="86" t="s">
        <v>1179</v>
      </c>
      <c r="G318" s="27"/>
      <c r="H318" s="101" t="str">
        <f t="shared" si="4"/>
        <v>NECOMPLETAT</v>
      </c>
      <c r="I318" s="4" t="s">
        <v>3183</v>
      </c>
      <c r="J318" s="4" t="s">
        <v>3183</v>
      </c>
      <c r="K318" s="4" t="s">
        <v>3180</v>
      </c>
      <c r="L318" s="4"/>
    </row>
    <row r="319" spans="1:12" ht="75" x14ac:dyDescent="0.25">
      <c r="A319" s="27">
        <v>313</v>
      </c>
      <c r="B319" s="8" t="s">
        <v>1180</v>
      </c>
      <c r="C319" s="62" t="s">
        <v>1181</v>
      </c>
      <c r="D319" s="62" t="s">
        <v>1182</v>
      </c>
      <c r="E319" s="86" t="s">
        <v>1183</v>
      </c>
      <c r="G319" s="27"/>
      <c r="H319" s="101" t="str">
        <f t="shared" si="4"/>
        <v>NECOMPLETAT</v>
      </c>
      <c r="I319" s="4" t="s">
        <v>3183</v>
      </c>
      <c r="J319" s="4" t="s">
        <v>3183</v>
      </c>
      <c r="K319" s="4" t="s">
        <v>3180</v>
      </c>
      <c r="L319" s="4"/>
    </row>
    <row r="320" spans="1:12" ht="105" x14ac:dyDescent="0.25">
      <c r="A320" s="27">
        <v>314</v>
      </c>
      <c r="B320" s="8" t="s">
        <v>1184</v>
      </c>
      <c r="C320" s="62" t="s">
        <v>1185</v>
      </c>
      <c r="D320" s="62" t="s">
        <v>1186</v>
      </c>
      <c r="E320" s="86" t="s">
        <v>1187</v>
      </c>
      <c r="G320" s="27"/>
      <c r="H320" s="101" t="str">
        <f t="shared" si="4"/>
        <v>NECOMPLETAT</v>
      </c>
      <c r="I320" s="4" t="s">
        <v>3183</v>
      </c>
      <c r="J320" s="4" t="s">
        <v>3183</v>
      </c>
      <c r="K320" s="4" t="s">
        <v>3180</v>
      </c>
      <c r="L320" s="4"/>
    </row>
    <row r="321" spans="1:12" ht="30" x14ac:dyDescent="0.25">
      <c r="A321" s="27">
        <v>315</v>
      </c>
      <c r="B321" s="8" t="s">
        <v>3192</v>
      </c>
      <c r="C321" s="62" t="s">
        <v>1189</v>
      </c>
      <c r="D321" s="62" t="s">
        <v>1190</v>
      </c>
      <c r="E321" s="86" t="s">
        <v>1191</v>
      </c>
      <c r="G321" s="27"/>
      <c r="H321" s="101" t="str">
        <f t="shared" si="4"/>
        <v>NECOMPLETAT</v>
      </c>
      <c r="I321" s="4" t="s">
        <v>3183</v>
      </c>
      <c r="J321" s="4" t="s">
        <v>3182</v>
      </c>
      <c r="K321" s="4" t="s">
        <v>3183</v>
      </c>
      <c r="L321" s="4"/>
    </row>
    <row r="322" spans="1:12" ht="60" x14ac:dyDescent="0.25">
      <c r="A322" s="27">
        <v>316</v>
      </c>
      <c r="B322" s="8" t="s">
        <v>1188</v>
      </c>
      <c r="C322" s="62" t="s">
        <v>1192</v>
      </c>
      <c r="D322" s="62" t="s">
        <v>1193</v>
      </c>
      <c r="E322" s="86" t="s">
        <v>1194</v>
      </c>
      <c r="G322" s="27"/>
      <c r="H322" s="101" t="str">
        <f t="shared" si="4"/>
        <v>NECOMPLETAT</v>
      </c>
      <c r="I322" s="4" t="s">
        <v>3183</v>
      </c>
      <c r="J322" s="4" t="s">
        <v>3182</v>
      </c>
      <c r="K322" s="4" t="s">
        <v>3183</v>
      </c>
      <c r="L322" s="4"/>
    </row>
    <row r="323" spans="1:12" ht="30" x14ac:dyDescent="0.25">
      <c r="A323" s="27">
        <v>317</v>
      </c>
      <c r="B323" s="8" t="s">
        <v>1195</v>
      </c>
      <c r="C323" s="62" t="s">
        <v>1196</v>
      </c>
      <c r="D323" s="62" t="s">
        <v>1197</v>
      </c>
      <c r="E323" s="86" t="s">
        <v>1198</v>
      </c>
      <c r="G323" s="27"/>
      <c r="H323" s="101" t="str">
        <f t="shared" si="4"/>
        <v>NECOMPLETAT</v>
      </c>
      <c r="I323" s="4" t="s">
        <v>3181</v>
      </c>
      <c r="J323" s="4" t="s">
        <v>3183</v>
      </c>
      <c r="K323" s="4" t="s">
        <v>3183</v>
      </c>
      <c r="L323" s="4"/>
    </row>
    <row r="324" spans="1:12" ht="75" x14ac:dyDescent="0.25">
      <c r="A324" s="27">
        <v>318</v>
      </c>
      <c r="B324" s="8" t="s">
        <v>1199</v>
      </c>
      <c r="C324" s="62" t="s">
        <v>1200</v>
      </c>
      <c r="D324" s="62" t="s">
        <v>1201</v>
      </c>
      <c r="E324" s="86" t="s">
        <v>1202</v>
      </c>
      <c r="G324" s="27"/>
      <c r="H324" s="101" t="str">
        <f t="shared" si="4"/>
        <v>NECOMPLETAT</v>
      </c>
      <c r="I324" s="4" t="s">
        <v>3183</v>
      </c>
      <c r="J324" s="4" t="s">
        <v>3182</v>
      </c>
      <c r="K324" s="4" t="s">
        <v>3183</v>
      </c>
      <c r="L324" s="4"/>
    </row>
    <row r="325" spans="1:12" ht="60" x14ac:dyDescent="0.25">
      <c r="A325" s="27">
        <v>319</v>
      </c>
      <c r="B325" s="8" t="s">
        <v>1203</v>
      </c>
      <c r="C325" s="62" t="s">
        <v>1204</v>
      </c>
      <c r="D325" s="62" t="s">
        <v>1205</v>
      </c>
      <c r="E325" s="86" t="s">
        <v>1206</v>
      </c>
      <c r="G325" s="27"/>
      <c r="H325" s="101" t="str">
        <f t="shared" si="4"/>
        <v>NECOMPLETAT</v>
      </c>
      <c r="I325" s="4" t="s">
        <v>3183</v>
      </c>
      <c r="J325" s="4" t="s">
        <v>3183</v>
      </c>
      <c r="K325" s="4" t="s">
        <v>3180</v>
      </c>
      <c r="L325" s="4"/>
    </row>
    <row r="326" spans="1:12" ht="45" x14ac:dyDescent="0.25">
      <c r="A326" s="27">
        <v>320</v>
      </c>
      <c r="B326" s="8" t="s">
        <v>1207</v>
      </c>
      <c r="C326" s="62" t="s">
        <v>1208</v>
      </c>
      <c r="D326" s="62" t="s">
        <v>1209</v>
      </c>
      <c r="E326" s="86" t="s">
        <v>1210</v>
      </c>
      <c r="G326" s="27"/>
      <c r="H326" s="101" t="str">
        <f t="shared" si="4"/>
        <v>NECOMPLETAT</v>
      </c>
      <c r="I326" s="4" t="s">
        <v>3183</v>
      </c>
      <c r="J326" s="4" t="s">
        <v>3183</v>
      </c>
      <c r="K326" s="4" t="s">
        <v>3180</v>
      </c>
      <c r="L326" s="4"/>
    </row>
    <row r="327" spans="1:12" ht="105" x14ac:dyDescent="0.25">
      <c r="A327" s="27">
        <v>321</v>
      </c>
      <c r="B327" s="8" t="s">
        <v>1211</v>
      </c>
      <c r="C327" s="62" t="s">
        <v>1212</v>
      </c>
      <c r="D327" s="62" t="s">
        <v>1213</v>
      </c>
      <c r="E327" s="89" t="s">
        <v>1214</v>
      </c>
      <c r="G327" s="27"/>
      <c r="H327" s="101" t="str">
        <f t="shared" si="4"/>
        <v>NECOMPLETAT</v>
      </c>
      <c r="I327" s="4" t="s">
        <v>3183</v>
      </c>
      <c r="J327" s="4" t="s">
        <v>3182</v>
      </c>
      <c r="K327" s="4" t="s">
        <v>3183</v>
      </c>
      <c r="L327" s="4"/>
    </row>
    <row r="328" spans="1:12" ht="105" x14ac:dyDescent="0.25">
      <c r="A328" s="27">
        <v>322</v>
      </c>
      <c r="B328" s="8" t="s">
        <v>1215</v>
      </c>
      <c r="C328" s="66" t="s">
        <v>1216</v>
      </c>
      <c r="D328" s="62" t="s">
        <v>1212</v>
      </c>
      <c r="E328" s="86" t="s">
        <v>1213</v>
      </c>
      <c r="G328" s="27"/>
      <c r="H328" s="101" t="str">
        <f t="shared" ref="H328:H391" si="5">IF(G328=0,"NECOMPLETAT",IF(OR(G328=I328,G328=J328,G328=K328),"CORECT","GRESIT"))</f>
        <v>NECOMPLETAT</v>
      </c>
      <c r="I328" s="4" t="s">
        <v>3181</v>
      </c>
      <c r="J328" s="4" t="s">
        <v>3183</v>
      </c>
      <c r="K328" s="4" t="s">
        <v>3183</v>
      </c>
      <c r="L328" s="4"/>
    </row>
    <row r="329" spans="1:12" ht="60" x14ac:dyDescent="0.25">
      <c r="A329" s="27">
        <v>323</v>
      </c>
      <c r="B329" s="8" t="s">
        <v>1217</v>
      </c>
      <c r="C329" s="62" t="s">
        <v>1060</v>
      </c>
      <c r="D329" s="62" t="s">
        <v>1218</v>
      </c>
      <c r="E329" s="86" t="s">
        <v>1062</v>
      </c>
      <c r="G329" s="27"/>
      <c r="H329" s="101" t="str">
        <f t="shared" si="5"/>
        <v>NECOMPLETAT</v>
      </c>
      <c r="I329" s="4" t="s">
        <v>3183</v>
      </c>
      <c r="J329" s="4" t="s">
        <v>3183</v>
      </c>
      <c r="K329" s="4" t="s">
        <v>3180</v>
      </c>
      <c r="L329" s="4"/>
    </row>
    <row r="330" spans="1:12" ht="105" x14ac:dyDescent="0.25">
      <c r="A330" s="27">
        <v>324</v>
      </c>
      <c r="B330" s="8" t="s">
        <v>1219</v>
      </c>
      <c r="C330" s="62" t="s">
        <v>1220</v>
      </c>
      <c r="D330" s="62" t="s">
        <v>1221</v>
      </c>
      <c r="E330" s="86" t="s">
        <v>1222</v>
      </c>
      <c r="G330" s="27"/>
      <c r="H330" s="101" t="str">
        <f t="shared" si="5"/>
        <v>NECOMPLETAT</v>
      </c>
      <c r="I330" s="4" t="s">
        <v>3183</v>
      </c>
      <c r="J330" s="4" t="s">
        <v>3183</v>
      </c>
      <c r="K330" s="4" t="s">
        <v>3180</v>
      </c>
      <c r="L330" s="4"/>
    </row>
    <row r="331" spans="1:12" ht="105" x14ac:dyDescent="0.25">
      <c r="A331" s="27">
        <v>325</v>
      </c>
      <c r="B331" s="8" t="s">
        <v>1223</v>
      </c>
      <c r="C331" s="62" t="s">
        <v>1224</v>
      </c>
      <c r="D331" s="62" t="s">
        <v>1225</v>
      </c>
      <c r="E331" s="86" t="s">
        <v>1226</v>
      </c>
      <c r="G331" s="27"/>
      <c r="H331" s="101" t="str">
        <f t="shared" si="5"/>
        <v>NECOMPLETAT</v>
      </c>
      <c r="I331" s="4" t="s">
        <v>3183</v>
      </c>
      <c r="J331" s="4" t="s">
        <v>3182</v>
      </c>
      <c r="K331" s="4" t="s">
        <v>3183</v>
      </c>
      <c r="L331" s="4"/>
    </row>
    <row r="332" spans="1:12" ht="90" x14ac:dyDescent="0.25">
      <c r="A332" s="27">
        <v>326</v>
      </c>
      <c r="B332" s="8" t="s">
        <v>1227</v>
      </c>
      <c r="C332" s="62" t="s">
        <v>1228</v>
      </c>
      <c r="D332" s="62" t="s">
        <v>1229</v>
      </c>
      <c r="E332" s="86" t="s">
        <v>1230</v>
      </c>
      <c r="G332" s="27"/>
      <c r="H332" s="101" t="str">
        <f t="shared" si="5"/>
        <v>NECOMPLETAT</v>
      </c>
      <c r="I332" s="4" t="s">
        <v>3183</v>
      </c>
      <c r="J332" s="4" t="s">
        <v>3183</v>
      </c>
      <c r="K332" s="4" t="s">
        <v>3180</v>
      </c>
      <c r="L332" s="4"/>
    </row>
    <row r="333" spans="1:12" ht="45" x14ac:dyDescent="0.25">
      <c r="A333" s="27">
        <v>327</v>
      </c>
      <c r="B333" s="8" t="s">
        <v>1231</v>
      </c>
      <c r="C333" s="62" t="s">
        <v>1232</v>
      </c>
      <c r="D333" s="62" t="s">
        <v>1233</v>
      </c>
      <c r="E333" s="86" t="s">
        <v>1234</v>
      </c>
      <c r="G333" s="27"/>
      <c r="H333" s="101" t="str">
        <f t="shared" si="5"/>
        <v>NECOMPLETAT</v>
      </c>
      <c r="I333" s="4" t="s">
        <v>3183</v>
      </c>
      <c r="J333" s="4" t="s">
        <v>3182</v>
      </c>
      <c r="K333" s="4" t="s">
        <v>3183</v>
      </c>
      <c r="L333" s="4"/>
    </row>
    <row r="334" spans="1:12" ht="30" x14ac:dyDescent="0.25">
      <c r="A334" s="27">
        <v>328</v>
      </c>
      <c r="B334" s="8" t="s">
        <v>1235</v>
      </c>
      <c r="C334" s="62" t="s">
        <v>1236</v>
      </c>
      <c r="D334" s="62" t="s">
        <v>1237</v>
      </c>
      <c r="E334" s="86" t="s">
        <v>1238</v>
      </c>
      <c r="G334" s="27"/>
      <c r="H334" s="101" t="str">
        <f t="shared" si="5"/>
        <v>NECOMPLETAT</v>
      </c>
      <c r="I334" s="4" t="s">
        <v>3181</v>
      </c>
      <c r="J334" s="4" t="s">
        <v>3183</v>
      </c>
      <c r="K334" s="4" t="s">
        <v>3183</v>
      </c>
      <c r="L334" s="4"/>
    </row>
    <row r="335" spans="1:12" ht="60" x14ac:dyDescent="0.25">
      <c r="A335" s="27">
        <v>329</v>
      </c>
      <c r="B335" s="8" t="s">
        <v>1239</v>
      </c>
      <c r="C335" s="62" t="s">
        <v>1240</v>
      </c>
      <c r="D335" s="62" t="s">
        <v>1241</v>
      </c>
      <c r="E335" s="86" t="s">
        <v>1242</v>
      </c>
      <c r="G335" s="27"/>
      <c r="H335" s="101" t="str">
        <f t="shared" si="5"/>
        <v>NECOMPLETAT</v>
      </c>
      <c r="I335" s="4" t="s">
        <v>3183</v>
      </c>
      <c r="J335" s="4" t="s">
        <v>3183</v>
      </c>
      <c r="K335" s="4" t="s">
        <v>3180</v>
      </c>
      <c r="L335" s="4"/>
    </row>
    <row r="336" spans="1:12" ht="55.15" customHeight="1" x14ac:dyDescent="0.25">
      <c r="A336" s="27">
        <v>330</v>
      </c>
      <c r="B336" s="8" t="s">
        <v>1243</v>
      </c>
      <c r="C336" s="62" t="s">
        <v>1244</v>
      </c>
      <c r="D336" s="62" t="s">
        <v>1245</v>
      </c>
      <c r="E336" s="86" t="s">
        <v>1246</v>
      </c>
      <c r="G336" s="27"/>
      <c r="H336" s="101" t="str">
        <f t="shared" si="5"/>
        <v>NECOMPLETAT</v>
      </c>
      <c r="I336" s="4" t="s">
        <v>3183</v>
      </c>
      <c r="J336" s="4" t="s">
        <v>3182</v>
      </c>
      <c r="K336" s="4" t="s">
        <v>3183</v>
      </c>
      <c r="L336" s="4"/>
    </row>
    <row r="337" spans="1:12" ht="45" x14ac:dyDescent="0.25">
      <c r="A337" s="27">
        <v>331</v>
      </c>
      <c r="B337" s="8" t="s">
        <v>1247</v>
      </c>
      <c r="C337" s="62" t="s">
        <v>1056</v>
      </c>
      <c r="D337" s="62" t="s">
        <v>1248</v>
      </c>
      <c r="E337" s="86" t="s">
        <v>1249</v>
      </c>
      <c r="G337" s="27"/>
      <c r="H337" s="101" t="str">
        <f t="shared" si="5"/>
        <v>NECOMPLETAT</v>
      </c>
      <c r="I337" s="4" t="s">
        <v>3183</v>
      </c>
      <c r="J337" s="4" t="s">
        <v>3182</v>
      </c>
      <c r="K337" s="4" t="s">
        <v>3183</v>
      </c>
      <c r="L337" s="4"/>
    </row>
    <row r="338" spans="1:12" ht="45" x14ac:dyDescent="0.25">
      <c r="A338" s="27">
        <v>332</v>
      </c>
      <c r="B338" s="8" t="s">
        <v>1250</v>
      </c>
      <c r="C338" s="62" t="s">
        <v>1251</v>
      </c>
      <c r="D338" s="62" t="s">
        <v>1252</v>
      </c>
      <c r="E338" s="86" t="s">
        <v>1253</v>
      </c>
      <c r="G338" s="27"/>
      <c r="H338" s="101" t="str">
        <f t="shared" si="5"/>
        <v>NECOMPLETAT</v>
      </c>
      <c r="I338" s="4" t="s">
        <v>3183</v>
      </c>
      <c r="J338" s="4" t="s">
        <v>3182</v>
      </c>
      <c r="K338" s="4" t="s">
        <v>3183</v>
      </c>
      <c r="L338" s="4"/>
    </row>
    <row r="339" spans="1:12" ht="45" x14ac:dyDescent="0.25">
      <c r="A339" s="27">
        <v>333</v>
      </c>
      <c r="B339" s="8" t="s">
        <v>1254</v>
      </c>
      <c r="C339" s="62" t="s">
        <v>1255</v>
      </c>
      <c r="D339" s="62" t="s">
        <v>1256</v>
      </c>
      <c r="E339" s="86" t="s">
        <v>1257</v>
      </c>
      <c r="G339" s="27"/>
      <c r="H339" s="101" t="str">
        <f t="shared" si="5"/>
        <v>NECOMPLETAT</v>
      </c>
      <c r="I339" s="4" t="s">
        <v>3181</v>
      </c>
      <c r="J339" s="4" t="s">
        <v>3183</v>
      </c>
      <c r="K339" s="4" t="s">
        <v>3183</v>
      </c>
      <c r="L339" s="4"/>
    </row>
    <row r="340" spans="1:12" ht="45" x14ac:dyDescent="0.25">
      <c r="A340" s="27">
        <v>334</v>
      </c>
      <c r="B340" s="8" t="s">
        <v>1258</v>
      </c>
      <c r="C340" s="62" t="s">
        <v>1259</v>
      </c>
      <c r="D340" s="62" t="s">
        <v>1260</v>
      </c>
      <c r="E340" s="86" t="s">
        <v>1261</v>
      </c>
      <c r="G340" s="27"/>
      <c r="H340" s="101" t="str">
        <f t="shared" si="5"/>
        <v>NECOMPLETAT</v>
      </c>
      <c r="I340" s="4" t="s">
        <v>3183</v>
      </c>
      <c r="J340" s="4" t="s">
        <v>3183</v>
      </c>
      <c r="K340" s="4" t="s">
        <v>3180</v>
      </c>
      <c r="L340" s="4"/>
    </row>
    <row r="341" spans="1:12" ht="75" x14ac:dyDescent="0.25">
      <c r="A341" s="27">
        <v>335</v>
      </c>
      <c r="B341" s="8" t="s">
        <v>1262</v>
      </c>
      <c r="C341" s="62" t="s">
        <v>1263</v>
      </c>
      <c r="D341" s="62" t="s">
        <v>1264</v>
      </c>
      <c r="E341" s="86" t="s">
        <v>1265</v>
      </c>
      <c r="G341" s="27"/>
      <c r="H341" s="101" t="str">
        <f t="shared" si="5"/>
        <v>NECOMPLETAT</v>
      </c>
      <c r="I341" s="4" t="s">
        <v>3183</v>
      </c>
      <c r="J341" s="4" t="s">
        <v>3183</v>
      </c>
      <c r="K341" s="4" t="s">
        <v>3180</v>
      </c>
      <c r="L341" s="4"/>
    </row>
    <row r="342" spans="1:12" ht="60" x14ac:dyDescent="0.25">
      <c r="A342" s="27">
        <v>336</v>
      </c>
      <c r="B342" s="8" t="s">
        <v>1266</v>
      </c>
      <c r="C342" s="62" t="s">
        <v>1267</v>
      </c>
      <c r="D342" s="62" t="s">
        <v>1268</v>
      </c>
      <c r="E342" s="86" t="s">
        <v>1269</v>
      </c>
      <c r="G342" s="27"/>
      <c r="H342" s="101" t="str">
        <f t="shared" si="5"/>
        <v>NECOMPLETAT</v>
      </c>
      <c r="I342" s="4" t="s">
        <v>3183</v>
      </c>
      <c r="J342" s="4" t="s">
        <v>3182</v>
      </c>
      <c r="K342" s="4" t="s">
        <v>3183</v>
      </c>
      <c r="L342" s="4"/>
    </row>
    <row r="343" spans="1:12" ht="60" x14ac:dyDescent="0.25">
      <c r="A343" s="27">
        <v>337</v>
      </c>
      <c r="B343" s="8" t="s">
        <v>1270</v>
      </c>
      <c r="C343" s="62" t="s">
        <v>1271</v>
      </c>
      <c r="D343" s="62" t="s">
        <v>1272</v>
      </c>
      <c r="E343" s="86" t="s">
        <v>1273</v>
      </c>
      <c r="G343" s="27"/>
      <c r="H343" s="101" t="str">
        <f t="shared" si="5"/>
        <v>NECOMPLETAT</v>
      </c>
      <c r="I343" s="4" t="s">
        <v>3183</v>
      </c>
      <c r="J343" s="4" t="s">
        <v>3182</v>
      </c>
      <c r="K343" s="4" t="s">
        <v>3183</v>
      </c>
      <c r="L343" s="4"/>
    </row>
    <row r="344" spans="1:12" ht="75" x14ac:dyDescent="0.25">
      <c r="A344" s="27">
        <v>338</v>
      </c>
      <c r="B344" s="8" t="s">
        <v>1274</v>
      </c>
      <c r="C344" s="62" t="s">
        <v>1275</v>
      </c>
      <c r="D344" s="62" t="s">
        <v>1276</v>
      </c>
      <c r="E344" s="86" t="s">
        <v>1277</v>
      </c>
      <c r="G344" s="27"/>
      <c r="H344" s="101" t="str">
        <f t="shared" si="5"/>
        <v>NECOMPLETAT</v>
      </c>
      <c r="I344" s="4" t="s">
        <v>3183</v>
      </c>
      <c r="J344" s="4" t="s">
        <v>3182</v>
      </c>
      <c r="K344" s="4" t="s">
        <v>3183</v>
      </c>
      <c r="L344" s="4"/>
    </row>
    <row r="345" spans="1:12" ht="75" x14ac:dyDescent="0.25">
      <c r="A345" s="27">
        <v>339</v>
      </c>
      <c r="B345" s="8" t="s">
        <v>1278</v>
      </c>
      <c r="C345" s="62" t="s">
        <v>1276</v>
      </c>
      <c r="D345" s="62" t="s">
        <v>1279</v>
      </c>
      <c r="E345" s="86" t="s">
        <v>1280</v>
      </c>
      <c r="G345" s="27"/>
      <c r="H345" s="101" t="str">
        <f t="shared" si="5"/>
        <v>NECOMPLETAT</v>
      </c>
      <c r="I345" s="4" t="s">
        <v>3183</v>
      </c>
      <c r="J345" s="4" t="s">
        <v>3183</v>
      </c>
      <c r="K345" s="4" t="s">
        <v>3180</v>
      </c>
      <c r="L345" s="4"/>
    </row>
    <row r="346" spans="1:12" ht="75" x14ac:dyDescent="0.25">
      <c r="A346" s="27">
        <v>340</v>
      </c>
      <c r="B346" s="8" t="s">
        <v>1281</v>
      </c>
      <c r="C346" s="62" t="s">
        <v>1276</v>
      </c>
      <c r="D346" s="62" t="s">
        <v>1282</v>
      </c>
      <c r="E346" s="86" t="s">
        <v>1277</v>
      </c>
      <c r="G346" s="27"/>
      <c r="H346" s="101" t="str">
        <f t="shared" si="5"/>
        <v>NECOMPLETAT</v>
      </c>
      <c r="I346" s="4" t="s">
        <v>3183</v>
      </c>
      <c r="J346" s="4" t="s">
        <v>3182</v>
      </c>
      <c r="K346" s="4" t="s">
        <v>3183</v>
      </c>
      <c r="L346" s="4"/>
    </row>
    <row r="347" spans="1:12" ht="30" x14ac:dyDescent="0.25">
      <c r="A347" s="27">
        <v>341</v>
      </c>
      <c r="B347" s="8" t="s">
        <v>1283</v>
      </c>
      <c r="C347" s="62" t="s">
        <v>1284</v>
      </c>
      <c r="D347" s="62" t="s">
        <v>1285</v>
      </c>
      <c r="E347" s="86" t="s">
        <v>1286</v>
      </c>
      <c r="G347" s="27"/>
      <c r="H347" s="101" t="str">
        <f t="shared" si="5"/>
        <v>NECOMPLETAT</v>
      </c>
      <c r="I347" s="4" t="s">
        <v>3183</v>
      </c>
      <c r="J347" s="4" t="s">
        <v>3183</v>
      </c>
      <c r="K347" s="4" t="s">
        <v>3180</v>
      </c>
      <c r="L347" s="4"/>
    </row>
    <row r="348" spans="1:12" ht="45" x14ac:dyDescent="0.25">
      <c r="A348" s="27">
        <v>342</v>
      </c>
      <c r="B348" s="8" t="s">
        <v>1287</v>
      </c>
      <c r="C348" s="62" t="s">
        <v>1288</v>
      </c>
      <c r="D348" s="62" t="s">
        <v>1289</v>
      </c>
      <c r="E348" s="86" t="s">
        <v>1290</v>
      </c>
      <c r="G348" s="27"/>
      <c r="H348" s="101" t="str">
        <f t="shared" si="5"/>
        <v>NECOMPLETAT</v>
      </c>
      <c r="I348" s="4" t="s">
        <v>3183</v>
      </c>
      <c r="J348" s="4" t="s">
        <v>3182</v>
      </c>
      <c r="K348" s="4" t="s">
        <v>3183</v>
      </c>
      <c r="L348" s="4"/>
    </row>
    <row r="349" spans="1:12" ht="45" x14ac:dyDescent="0.25">
      <c r="A349" s="27">
        <v>343</v>
      </c>
      <c r="B349" s="8" t="s">
        <v>1291</v>
      </c>
      <c r="C349" s="62" t="s">
        <v>1292</v>
      </c>
      <c r="D349" s="62" t="s">
        <v>1293</v>
      </c>
      <c r="E349" s="86" t="s">
        <v>1294</v>
      </c>
      <c r="G349" s="27"/>
      <c r="H349" s="101" t="str">
        <f t="shared" si="5"/>
        <v>NECOMPLETAT</v>
      </c>
      <c r="I349" s="4" t="s">
        <v>3183</v>
      </c>
      <c r="J349" s="4" t="s">
        <v>3183</v>
      </c>
      <c r="K349" s="4" t="s">
        <v>3180</v>
      </c>
      <c r="L349" s="4"/>
    </row>
    <row r="350" spans="1:12" ht="75" x14ac:dyDescent="0.25">
      <c r="A350" s="27">
        <v>344</v>
      </c>
      <c r="B350" s="8" t="s">
        <v>1295</v>
      </c>
      <c r="C350" s="62" t="s">
        <v>1296</v>
      </c>
      <c r="D350" s="62" t="s">
        <v>1297</v>
      </c>
      <c r="E350" s="86" t="s">
        <v>1298</v>
      </c>
      <c r="G350" s="27"/>
      <c r="H350" s="101" t="str">
        <f t="shared" si="5"/>
        <v>NECOMPLETAT</v>
      </c>
      <c r="I350" s="4" t="s">
        <v>3183</v>
      </c>
      <c r="J350" s="4" t="s">
        <v>3182</v>
      </c>
      <c r="K350" s="4" t="s">
        <v>3183</v>
      </c>
      <c r="L350" s="4"/>
    </row>
    <row r="351" spans="1:12" ht="45" x14ac:dyDescent="0.25">
      <c r="A351" s="27">
        <v>345</v>
      </c>
      <c r="B351" s="8" t="s">
        <v>1299</v>
      </c>
      <c r="C351" s="62" t="s">
        <v>1300</v>
      </c>
      <c r="D351" s="62" t="s">
        <v>1301</v>
      </c>
      <c r="E351" s="86" t="s">
        <v>1302</v>
      </c>
      <c r="G351" s="27"/>
      <c r="H351" s="101" t="str">
        <f t="shared" si="5"/>
        <v>NECOMPLETAT</v>
      </c>
      <c r="I351" s="4" t="s">
        <v>3183</v>
      </c>
      <c r="J351" s="4" t="s">
        <v>3182</v>
      </c>
      <c r="K351" s="4" t="s">
        <v>3183</v>
      </c>
      <c r="L351" s="4"/>
    </row>
    <row r="352" spans="1:12" ht="30" x14ac:dyDescent="0.25">
      <c r="A352" s="27">
        <v>346</v>
      </c>
      <c r="B352" s="15" t="s">
        <v>1303</v>
      </c>
      <c r="C352" s="62" t="s">
        <v>1304</v>
      </c>
      <c r="D352" s="62" t="s">
        <v>1305</v>
      </c>
      <c r="E352" s="86" t="s">
        <v>1306</v>
      </c>
      <c r="G352" s="27"/>
      <c r="H352" s="101" t="str">
        <f t="shared" si="5"/>
        <v>NECOMPLETAT</v>
      </c>
      <c r="I352" s="4" t="s">
        <v>3183</v>
      </c>
      <c r="J352" s="4" t="s">
        <v>3182</v>
      </c>
      <c r="K352" s="4" t="s">
        <v>3183</v>
      </c>
      <c r="L352" s="4"/>
    </row>
    <row r="353" spans="1:13" ht="30" x14ac:dyDescent="0.25">
      <c r="A353" s="27">
        <v>347</v>
      </c>
      <c r="B353" s="8" t="s">
        <v>1303</v>
      </c>
      <c r="C353" s="62" t="s">
        <v>1307</v>
      </c>
      <c r="D353" s="62" t="s">
        <v>1308</v>
      </c>
      <c r="E353" s="86" t="s">
        <v>1306</v>
      </c>
      <c r="G353" s="27"/>
      <c r="H353" s="101" t="str">
        <f t="shared" si="5"/>
        <v>NECOMPLETAT</v>
      </c>
      <c r="I353" s="4" t="s">
        <v>3181</v>
      </c>
      <c r="J353" s="4" t="s">
        <v>3183</v>
      </c>
      <c r="K353" s="4" t="s">
        <v>3183</v>
      </c>
      <c r="L353" s="4"/>
    </row>
    <row r="354" spans="1:13" ht="30" x14ac:dyDescent="0.25">
      <c r="A354" s="27">
        <v>348</v>
      </c>
      <c r="B354" s="8" t="s">
        <v>1309</v>
      </c>
      <c r="C354" s="62" t="s">
        <v>1056</v>
      </c>
      <c r="D354" s="62" t="s">
        <v>1310</v>
      </c>
      <c r="E354" s="86" t="s">
        <v>1311</v>
      </c>
      <c r="G354" s="27"/>
      <c r="H354" s="101" t="str">
        <f t="shared" si="5"/>
        <v>NECOMPLETAT</v>
      </c>
      <c r="I354" s="4" t="s">
        <v>3181</v>
      </c>
      <c r="J354" s="4" t="s">
        <v>3183</v>
      </c>
      <c r="K354" s="4" t="s">
        <v>3183</v>
      </c>
      <c r="L354" s="4"/>
    </row>
    <row r="355" spans="1:13" ht="60" x14ac:dyDescent="0.25">
      <c r="A355" s="27">
        <v>349</v>
      </c>
      <c r="B355" s="15" t="s">
        <v>1312</v>
      </c>
      <c r="C355" s="62" t="s">
        <v>1313</v>
      </c>
      <c r="D355" s="62" t="s">
        <v>1145</v>
      </c>
      <c r="E355" s="86" t="s">
        <v>1056</v>
      </c>
      <c r="G355" s="27"/>
      <c r="H355" s="101" t="str">
        <f t="shared" si="5"/>
        <v>NECOMPLETAT</v>
      </c>
      <c r="I355" s="4" t="s">
        <v>3183</v>
      </c>
      <c r="J355" s="4" t="s">
        <v>3182</v>
      </c>
      <c r="K355" s="4" t="s">
        <v>3183</v>
      </c>
      <c r="L355" s="4"/>
    </row>
    <row r="356" spans="1:13" ht="60" x14ac:dyDescent="0.25">
      <c r="A356" s="27">
        <v>350</v>
      </c>
      <c r="B356" s="8" t="s">
        <v>1314</v>
      </c>
      <c r="C356" s="62" t="s">
        <v>1313</v>
      </c>
      <c r="D356" s="62" t="s">
        <v>1145</v>
      </c>
      <c r="E356" s="86" t="s">
        <v>1056</v>
      </c>
      <c r="G356" s="27"/>
      <c r="H356" s="101" t="str">
        <f t="shared" si="5"/>
        <v>NECOMPLETAT</v>
      </c>
      <c r="I356" s="4" t="s">
        <v>3183</v>
      </c>
      <c r="J356" s="4" t="s">
        <v>3182</v>
      </c>
      <c r="K356" s="4" t="s">
        <v>3183</v>
      </c>
      <c r="L356" s="4"/>
    </row>
    <row r="357" spans="1:13" ht="45" x14ac:dyDescent="0.25">
      <c r="A357" s="27">
        <v>351</v>
      </c>
      <c r="B357" s="8" t="s">
        <v>1315</v>
      </c>
      <c r="C357" s="62" t="s">
        <v>1316</v>
      </c>
      <c r="D357" s="62" t="s">
        <v>1317</v>
      </c>
      <c r="E357" s="86" t="s">
        <v>1318</v>
      </c>
      <c r="G357" s="27"/>
      <c r="H357" s="101" t="str">
        <f t="shared" si="5"/>
        <v>NECOMPLETAT</v>
      </c>
      <c r="I357" s="4" t="s">
        <v>3181</v>
      </c>
      <c r="J357" s="4" t="s">
        <v>3183</v>
      </c>
      <c r="K357" s="4" t="s">
        <v>3183</v>
      </c>
      <c r="L357" s="4"/>
    </row>
    <row r="358" spans="1:13" ht="45" x14ac:dyDescent="0.25">
      <c r="A358" s="27">
        <v>352</v>
      </c>
      <c r="B358" s="8" t="s">
        <v>1319</v>
      </c>
      <c r="C358" s="62" t="s">
        <v>1320</v>
      </c>
      <c r="D358" s="62" t="s">
        <v>1321</v>
      </c>
      <c r="E358" s="86" t="s">
        <v>1322</v>
      </c>
      <c r="G358" s="27"/>
      <c r="H358" s="101" t="str">
        <f t="shared" si="5"/>
        <v>NECOMPLETAT</v>
      </c>
      <c r="I358" s="4" t="s">
        <v>3183</v>
      </c>
      <c r="J358" s="4" t="s">
        <v>3182</v>
      </c>
      <c r="K358" s="4" t="s">
        <v>3183</v>
      </c>
      <c r="L358" s="4"/>
    </row>
    <row r="359" spans="1:13" ht="40.15" customHeight="1" x14ac:dyDescent="0.25">
      <c r="A359" s="27">
        <v>353</v>
      </c>
      <c r="B359" s="8" t="s">
        <v>1323</v>
      </c>
      <c r="C359" s="62" t="s">
        <v>1324</v>
      </c>
      <c r="D359" s="62" t="s">
        <v>1325</v>
      </c>
      <c r="E359" s="86" t="s">
        <v>1145</v>
      </c>
      <c r="G359" s="27"/>
      <c r="H359" s="101" t="str">
        <f t="shared" si="5"/>
        <v>NECOMPLETAT</v>
      </c>
      <c r="I359" s="4" t="s">
        <v>3183</v>
      </c>
      <c r="J359" s="4" t="s">
        <v>3183</v>
      </c>
      <c r="K359" s="4" t="s">
        <v>3180</v>
      </c>
      <c r="L359" s="4"/>
    </row>
    <row r="360" spans="1:13" ht="105" x14ac:dyDescent="0.25">
      <c r="A360" s="27">
        <v>354</v>
      </c>
      <c r="B360" s="15" t="s">
        <v>1326</v>
      </c>
      <c r="C360" s="62" t="s">
        <v>1056</v>
      </c>
      <c r="D360" s="62" t="s">
        <v>1327</v>
      </c>
      <c r="E360" s="86" t="s">
        <v>1328</v>
      </c>
      <c r="G360" s="27"/>
      <c r="H360" s="101" t="str">
        <f t="shared" si="5"/>
        <v>NECOMPLETAT</v>
      </c>
      <c r="I360" s="4" t="s">
        <v>3181</v>
      </c>
      <c r="J360" s="4" t="s">
        <v>3183</v>
      </c>
      <c r="K360" s="4" t="s">
        <v>3183</v>
      </c>
      <c r="L360" s="4"/>
    </row>
    <row r="361" spans="1:13" ht="105" x14ac:dyDescent="0.25">
      <c r="A361" s="27">
        <v>355</v>
      </c>
      <c r="B361" s="8" t="s">
        <v>1326</v>
      </c>
      <c r="C361" s="62" t="s">
        <v>1329</v>
      </c>
      <c r="D361" s="62" t="s">
        <v>1330</v>
      </c>
      <c r="E361" s="86" t="s">
        <v>1328</v>
      </c>
      <c r="G361" s="27"/>
      <c r="H361" s="101" t="str">
        <f t="shared" si="5"/>
        <v>NECOMPLETAT</v>
      </c>
      <c r="I361" s="4" t="s">
        <v>3183</v>
      </c>
      <c r="J361" s="4" t="s">
        <v>3182</v>
      </c>
      <c r="K361" s="4" t="s">
        <v>3183</v>
      </c>
      <c r="L361" s="4"/>
    </row>
    <row r="362" spans="1:13" ht="60" x14ac:dyDescent="0.25">
      <c r="A362" s="27">
        <v>356</v>
      </c>
      <c r="B362" s="8" t="s">
        <v>1331</v>
      </c>
      <c r="C362" s="62" t="s">
        <v>1332</v>
      </c>
      <c r="D362" s="62" t="s">
        <v>1333</v>
      </c>
      <c r="E362" s="86" t="s">
        <v>1334</v>
      </c>
      <c r="G362" s="27"/>
      <c r="H362" s="101" t="str">
        <f t="shared" si="5"/>
        <v>NECOMPLETAT</v>
      </c>
      <c r="I362" s="4" t="s">
        <v>3181</v>
      </c>
      <c r="J362" s="4" t="s">
        <v>3183</v>
      </c>
      <c r="K362" s="4" t="s">
        <v>3183</v>
      </c>
      <c r="L362" s="4"/>
    </row>
    <row r="363" spans="1:13" ht="75" x14ac:dyDescent="0.25">
      <c r="A363" s="27">
        <v>357</v>
      </c>
      <c r="B363" s="8" t="s">
        <v>1335</v>
      </c>
      <c r="C363" s="62" t="s">
        <v>1336</v>
      </c>
      <c r="D363" s="62" t="s">
        <v>1337</v>
      </c>
      <c r="E363" s="86" t="s">
        <v>1056</v>
      </c>
      <c r="G363" s="27"/>
      <c r="H363" s="101" t="str">
        <f t="shared" si="5"/>
        <v>NECOMPLETAT</v>
      </c>
      <c r="I363" s="4" t="s">
        <v>3181</v>
      </c>
      <c r="J363" s="4" t="s">
        <v>3183</v>
      </c>
      <c r="K363" s="4" t="s">
        <v>3183</v>
      </c>
      <c r="L363" s="4"/>
    </row>
    <row r="364" spans="1:13" ht="45" x14ac:dyDescent="0.25">
      <c r="A364" s="27">
        <v>358</v>
      </c>
      <c r="B364" s="8" t="s">
        <v>1338</v>
      </c>
      <c r="C364" s="62" t="s">
        <v>1339</v>
      </c>
      <c r="D364" s="62" t="s">
        <v>1340</v>
      </c>
      <c r="E364" s="86" t="s">
        <v>1341</v>
      </c>
      <c r="G364" s="27"/>
      <c r="H364" s="101" t="str">
        <f t="shared" si="5"/>
        <v>NECOMPLETAT</v>
      </c>
      <c r="I364" s="4" t="s">
        <v>3183</v>
      </c>
      <c r="J364" s="4" t="s">
        <v>3183</v>
      </c>
      <c r="K364" s="4" t="s">
        <v>3180</v>
      </c>
      <c r="L364" s="4"/>
    </row>
    <row r="365" spans="1:13" ht="45" x14ac:dyDescent="0.25">
      <c r="A365" s="27">
        <v>359</v>
      </c>
      <c r="B365" s="8" t="s">
        <v>1342</v>
      </c>
      <c r="C365" s="62" t="s">
        <v>1343</v>
      </c>
      <c r="D365" s="62" t="s">
        <v>1344</v>
      </c>
      <c r="E365" s="86" t="s">
        <v>1345</v>
      </c>
      <c r="G365" s="27"/>
      <c r="H365" s="101" t="str">
        <f t="shared" si="5"/>
        <v>NECOMPLETAT</v>
      </c>
      <c r="I365" s="4" t="s">
        <v>3181</v>
      </c>
      <c r="J365" s="4" t="s">
        <v>3183</v>
      </c>
      <c r="K365" s="4" t="s">
        <v>3183</v>
      </c>
      <c r="L365" s="4"/>
    </row>
    <row r="366" spans="1:13" ht="90" x14ac:dyDescent="0.25">
      <c r="A366" s="27">
        <v>360</v>
      </c>
      <c r="B366" s="8" t="s">
        <v>1342</v>
      </c>
      <c r="C366" s="62" t="s">
        <v>1346</v>
      </c>
      <c r="D366" s="62" t="s">
        <v>1344</v>
      </c>
      <c r="E366" s="86" t="s">
        <v>1347</v>
      </c>
      <c r="G366" s="27"/>
      <c r="H366" s="101" t="str">
        <f t="shared" si="5"/>
        <v>NECOMPLETAT</v>
      </c>
      <c r="I366" s="4" t="s">
        <v>3181</v>
      </c>
      <c r="J366" s="4" t="s">
        <v>3183</v>
      </c>
      <c r="K366" s="4" t="s">
        <v>3183</v>
      </c>
      <c r="L366" s="4"/>
    </row>
    <row r="367" spans="1:13" ht="45" x14ac:dyDescent="0.25">
      <c r="A367" s="27">
        <v>361</v>
      </c>
      <c r="B367" s="8" t="s">
        <v>1348</v>
      </c>
      <c r="C367" s="62" t="s">
        <v>1349</v>
      </c>
      <c r="D367" s="62" t="s">
        <v>1350</v>
      </c>
      <c r="E367" s="86" t="s">
        <v>1351</v>
      </c>
      <c r="G367" s="27"/>
      <c r="H367" s="101" t="str">
        <f t="shared" si="5"/>
        <v>NECOMPLETAT</v>
      </c>
      <c r="I367" s="4" t="s">
        <v>3183</v>
      </c>
      <c r="J367" s="4" t="s">
        <v>3183</v>
      </c>
      <c r="K367" s="4" t="s">
        <v>3180</v>
      </c>
      <c r="L367" s="4"/>
    </row>
    <row r="368" spans="1:13" ht="45" x14ac:dyDescent="0.25">
      <c r="A368" s="27">
        <v>362</v>
      </c>
      <c r="B368" s="16" t="s">
        <v>1352</v>
      </c>
      <c r="C368" s="62" t="s">
        <v>1353</v>
      </c>
      <c r="D368" s="62" t="s">
        <v>1354</v>
      </c>
      <c r="E368" s="86" t="s">
        <v>1355</v>
      </c>
      <c r="G368" s="27"/>
      <c r="H368" s="101" t="str">
        <f t="shared" si="5"/>
        <v>NECOMPLETAT</v>
      </c>
      <c r="I368" s="4" t="s">
        <v>3183</v>
      </c>
      <c r="J368" s="4" t="s">
        <v>3182</v>
      </c>
      <c r="K368" s="4" t="s">
        <v>3183</v>
      </c>
      <c r="L368" s="4"/>
      <c r="M368" s="4" t="s">
        <v>3193</v>
      </c>
    </row>
    <row r="369" spans="1:13" ht="45" x14ac:dyDescent="0.25">
      <c r="A369" s="27">
        <v>363</v>
      </c>
      <c r="B369" s="8" t="s">
        <v>1356</v>
      </c>
      <c r="C369" s="62" t="s">
        <v>1357</v>
      </c>
      <c r="D369" s="62" t="s">
        <v>1358</v>
      </c>
      <c r="E369" s="86" t="s">
        <v>1359</v>
      </c>
      <c r="G369" s="27"/>
      <c r="H369" s="101" t="str">
        <f t="shared" si="5"/>
        <v>NECOMPLETAT</v>
      </c>
      <c r="I369" s="4" t="s">
        <v>3183</v>
      </c>
      <c r="J369" s="4" t="s">
        <v>3182</v>
      </c>
      <c r="K369" s="4" t="s">
        <v>3183</v>
      </c>
      <c r="L369" s="4"/>
    </row>
    <row r="370" spans="1:13" ht="60" x14ac:dyDescent="0.25">
      <c r="A370" s="27">
        <v>364</v>
      </c>
      <c r="B370" s="8" t="s">
        <v>1360</v>
      </c>
      <c r="C370" s="62" t="s">
        <v>1361</v>
      </c>
      <c r="D370" s="62" t="s">
        <v>1362</v>
      </c>
      <c r="E370" s="86" t="s">
        <v>1363</v>
      </c>
      <c r="G370" s="27"/>
      <c r="H370" s="101" t="str">
        <f t="shared" si="5"/>
        <v>NECOMPLETAT</v>
      </c>
      <c r="I370" s="4" t="s">
        <v>3183</v>
      </c>
      <c r="J370" s="4" t="s">
        <v>3182</v>
      </c>
      <c r="K370" s="4" t="s">
        <v>3183</v>
      </c>
      <c r="L370" s="4"/>
    </row>
    <row r="371" spans="1:13" ht="75" x14ac:dyDescent="0.25">
      <c r="A371" s="27">
        <v>365</v>
      </c>
      <c r="B371" s="16" t="s">
        <v>1364</v>
      </c>
      <c r="C371" s="62" t="s">
        <v>1365</v>
      </c>
      <c r="D371" s="62" t="s">
        <v>1366</v>
      </c>
      <c r="E371" s="86" t="s">
        <v>1367</v>
      </c>
      <c r="G371" s="27"/>
      <c r="H371" s="101" t="str">
        <f t="shared" si="5"/>
        <v>NECOMPLETAT</v>
      </c>
      <c r="I371" s="4" t="s">
        <v>3181</v>
      </c>
      <c r="J371" s="4" t="s">
        <v>3183</v>
      </c>
      <c r="K371" s="4" t="s">
        <v>3183</v>
      </c>
      <c r="L371" s="4"/>
    </row>
    <row r="372" spans="1:13" ht="75" x14ac:dyDescent="0.25">
      <c r="A372" s="27">
        <v>366</v>
      </c>
      <c r="B372" s="17" t="s">
        <v>1368</v>
      </c>
      <c r="C372" s="62" t="s">
        <v>1365</v>
      </c>
      <c r="D372" s="62" t="s">
        <v>1366</v>
      </c>
      <c r="E372" s="86" t="s">
        <v>1367</v>
      </c>
      <c r="G372" s="27"/>
      <c r="H372" s="101" t="str">
        <f t="shared" si="5"/>
        <v>NECOMPLETAT</v>
      </c>
      <c r="I372" s="4" t="s">
        <v>3181</v>
      </c>
      <c r="J372" s="4" t="s">
        <v>3183</v>
      </c>
      <c r="K372" s="4" t="s">
        <v>3183</v>
      </c>
      <c r="L372" s="4"/>
    </row>
    <row r="373" spans="1:13" ht="30" x14ac:dyDescent="0.25">
      <c r="A373" s="27">
        <v>367</v>
      </c>
      <c r="B373" s="8" t="s">
        <v>1369</v>
      </c>
      <c r="C373" s="62" t="s">
        <v>1370</v>
      </c>
      <c r="D373" s="62" t="s">
        <v>1371</v>
      </c>
      <c r="E373" s="86" t="s">
        <v>1372</v>
      </c>
      <c r="G373" s="27"/>
      <c r="H373" s="101" t="str">
        <f t="shared" si="5"/>
        <v>NECOMPLETAT</v>
      </c>
      <c r="I373" s="4" t="s">
        <v>3183</v>
      </c>
      <c r="J373" s="4" t="s">
        <v>3182</v>
      </c>
      <c r="K373" s="4" t="s">
        <v>3183</v>
      </c>
      <c r="L373" s="4"/>
    </row>
    <row r="374" spans="1:13" ht="60" x14ac:dyDescent="0.25">
      <c r="A374" s="27">
        <v>368</v>
      </c>
      <c r="B374" s="16" t="s">
        <v>1373</v>
      </c>
      <c r="C374" s="65" t="s">
        <v>1374</v>
      </c>
      <c r="D374" s="65" t="s">
        <v>1375</v>
      </c>
      <c r="E374" s="89" t="s">
        <v>1376</v>
      </c>
      <c r="G374" s="27"/>
      <c r="H374" s="101" t="str">
        <f t="shared" si="5"/>
        <v>NECOMPLETAT</v>
      </c>
      <c r="I374" s="4" t="s">
        <v>3183</v>
      </c>
      <c r="J374" s="4" t="s">
        <v>3183</v>
      </c>
      <c r="K374" s="4" t="s">
        <v>3180</v>
      </c>
      <c r="L374" s="4"/>
    </row>
    <row r="375" spans="1:13" ht="60" x14ac:dyDescent="0.25">
      <c r="A375" s="27">
        <v>369</v>
      </c>
      <c r="B375" s="8" t="s">
        <v>1377</v>
      </c>
      <c r="C375" s="62" t="s">
        <v>1378</v>
      </c>
      <c r="D375" s="62" t="s">
        <v>1379</v>
      </c>
      <c r="E375" s="86" t="s">
        <v>1380</v>
      </c>
      <c r="G375" s="27"/>
      <c r="H375" s="101" t="str">
        <f t="shared" si="5"/>
        <v>NECOMPLETAT</v>
      </c>
      <c r="I375" s="4" t="s">
        <v>3183</v>
      </c>
      <c r="J375" s="4" t="s">
        <v>3182</v>
      </c>
      <c r="K375" s="4" t="s">
        <v>3183</v>
      </c>
      <c r="L375" s="4"/>
    </row>
    <row r="376" spans="1:13" ht="75" x14ac:dyDescent="0.25">
      <c r="A376" s="27">
        <v>370</v>
      </c>
      <c r="B376" s="8" t="s">
        <v>1381</v>
      </c>
      <c r="C376" s="62" t="s">
        <v>1382</v>
      </c>
      <c r="D376" s="62" t="s">
        <v>1383</v>
      </c>
      <c r="E376" s="86" t="s">
        <v>1384</v>
      </c>
      <c r="G376" s="27"/>
      <c r="H376" s="101" t="str">
        <f t="shared" si="5"/>
        <v>NECOMPLETAT</v>
      </c>
      <c r="I376" s="4" t="s">
        <v>3183</v>
      </c>
      <c r="J376" s="4" t="s">
        <v>3183</v>
      </c>
      <c r="K376" s="4" t="s">
        <v>3180</v>
      </c>
      <c r="L376" s="4"/>
    </row>
    <row r="377" spans="1:13" ht="45" x14ac:dyDescent="0.25">
      <c r="A377" s="27">
        <v>371</v>
      </c>
      <c r="B377" s="8" t="s">
        <v>1385</v>
      </c>
      <c r="C377" s="62" t="s">
        <v>1386</v>
      </c>
      <c r="D377" s="62" t="s">
        <v>1387</v>
      </c>
      <c r="E377" s="86" t="s">
        <v>1388</v>
      </c>
      <c r="G377" s="27"/>
      <c r="H377" s="101" t="str">
        <f t="shared" si="5"/>
        <v>NECOMPLETAT</v>
      </c>
      <c r="I377" s="4" t="s">
        <v>3181</v>
      </c>
      <c r="J377" s="4" t="s">
        <v>3183</v>
      </c>
      <c r="K377" s="4" t="s">
        <v>3183</v>
      </c>
      <c r="L377" s="4"/>
    </row>
    <row r="378" spans="1:13" ht="75" x14ac:dyDescent="0.25">
      <c r="A378" s="27">
        <v>372</v>
      </c>
      <c r="B378" s="8" t="s">
        <v>1389</v>
      </c>
      <c r="C378" s="62" t="s">
        <v>1119</v>
      </c>
      <c r="D378" s="62" t="s">
        <v>1390</v>
      </c>
      <c r="E378" s="86" t="s">
        <v>1391</v>
      </c>
      <c r="G378" s="27"/>
      <c r="H378" s="101" t="str">
        <f t="shared" si="5"/>
        <v>NECOMPLETAT</v>
      </c>
      <c r="I378" s="4" t="s">
        <v>3181</v>
      </c>
      <c r="J378" s="4" t="s">
        <v>3183</v>
      </c>
      <c r="K378" s="4" t="s">
        <v>3183</v>
      </c>
      <c r="L378" s="4"/>
    </row>
    <row r="379" spans="1:13" ht="60" x14ac:dyDescent="0.25">
      <c r="A379" s="27">
        <v>373</v>
      </c>
      <c r="B379" s="8" t="s">
        <v>1392</v>
      </c>
      <c r="C379" s="65" t="s">
        <v>1393</v>
      </c>
      <c r="D379" s="65" t="s">
        <v>1394</v>
      </c>
      <c r="E379" s="89" t="s">
        <v>1395</v>
      </c>
      <c r="G379" s="27"/>
      <c r="H379" s="101" t="str">
        <f t="shared" si="5"/>
        <v>NECOMPLETAT</v>
      </c>
      <c r="I379" s="4" t="s">
        <v>3183</v>
      </c>
      <c r="J379" s="4" t="s">
        <v>3182</v>
      </c>
      <c r="K379" s="4" t="s">
        <v>3183</v>
      </c>
      <c r="L379" s="4"/>
    </row>
    <row r="380" spans="1:13" ht="60" x14ac:dyDescent="0.25">
      <c r="A380" s="27">
        <v>374</v>
      </c>
      <c r="B380" s="8" t="s">
        <v>1396</v>
      </c>
      <c r="C380" s="65" t="s">
        <v>1397</v>
      </c>
      <c r="D380" s="65" t="s">
        <v>1398</v>
      </c>
      <c r="E380" s="89" t="s">
        <v>1399</v>
      </c>
      <c r="G380" s="27"/>
      <c r="H380" s="101" t="str">
        <f t="shared" si="5"/>
        <v>NECOMPLETAT</v>
      </c>
      <c r="I380" s="4" t="s">
        <v>3181</v>
      </c>
      <c r="J380" s="4" t="s">
        <v>3183</v>
      </c>
      <c r="K380" s="4" t="s">
        <v>3183</v>
      </c>
      <c r="L380" s="4"/>
    </row>
    <row r="381" spans="1:13" ht="60" x14ac:dyDescent="0.25">
      <c r="A381" s="27">
        <v>375</v>
      </c>
      <c r="B381" s="8" t="s">
        <v>1400</v>
      </c>
      <c r="C381" s="62" t="s">
        <v>1401</v>
      </c>
      <c r="D381" s="62" t="s">
        <v>1402</v>
      </c>
      <c r="E381" s="86" t="s">
        <v>1403</v>
      </c>
      <c r="G381" s="27"/>
      <c r="H381" s="101" t="str">
        <f t="shared" si="5"/>
        <v>NECOMPLETAT</v>
      </c>
      <c r="I381" s="4" t="s">
        <v>3183</v>
      </c>
      <c r="J381" s="4" t="s">
        <v>3182</v>
      </c>
      <c r="K381" s="4" t="s">
        <v>3183</v>
      </c>
      <c r="L381" s="4"/>
    </row>
    <row r="382" spans="1:13" ht="45" x14ac:dyDescent="0.25">
      <c r="A382" s="27">
        <v>376</v>
      </c>
      <c r="B382" s="8" t="s">
        <v>1404</v>
      </c>
      <c r="C382" s="62" t="s">
        <v>1405</v>
      </c>
      <c r="D382" s="62" t="s">
        <v>1406</v>
      </c>
      <c r="E382" s="86" t="s">
        <v>1407</v>
      </c>
      <c r="G382" s="27"/>
      <c r="H382" s="101" t="str">
        <f t="shared" si="5"/>
        <v>NECOMPLETAT</v>
      </c>
      <c r="I382" s="4" t="s">
        <v>3181</v>
      </c>
      <c r="J382" s="4" t="s">
        <v>3183</v>
      </c>
      <c r="K382" s="4" t="s">
        <v>3183</v>
      </c>
      <c r="L382" s="4"/>
    </row>
    <row r="383" spans="1:13" ht="45" x14ac:dyDescent="0.25">
      <c r="A383" s="27">
        <v>377</v>
      </c>
      <c r="B383" s="8" t="s">
        <v>1408</v>
      </c>
      <c r="C383" s="64" t="s">
        <v>1409</v>
      </c>
      <c r="D383" s="64" t="s">
        <v>1410</v>
      </c>
      <c r="E383" s="86" t="s">
        <v>1411</v>
      </c>
      <c r="G383" s="27"/>
      <c r="H383" s="101" t="str">
        <f t="shared" si="5"/>
        <v>NECOMPLETAT</v>
      </c>
      <c r="I383" s="4" t="s">
        <v>3183</v>
      </c>
      <c r="J383" s="4" t="s">
        <v>3182</v>
      </c>
      <c r="K383" s="4" t="s">
        <v>3183</v>
      </c>
      <c r="L383" s="4"/>
    </row>
    <row r="384" spans="1:13" ht="45" x14ac:dyDescent="0.25">
      <c r="A384" s="27">
        <v>378</v>
      </c>
      <c r="B384" s="8" t="s">
        <v>1412</v>
      </c>
      <c r="C384" s="64" t="s">
        <v>1413</v>
      </c>
      <c r="D384" s="64" t="s">
        <v>1414</v>
      </c>
      <c r="E384" s="88" t="s">
        <v>1415</v>
      </c>
      <c r="G384" s="27"/>
      <c r="H384" s="101" t="str">
        <f t="shared" si="5"/>
        <v>NECOMPLETAT</v>
      </c>
      <c r="I384" s="4" t="s">
        <v>3181</v>
      </c>
      <c r="J384" s="4" t="s">
        <v>3183</v>
      </c>
      <c r="K384" s="4" t="s">
        <v>3183</v>
      </c>
      <c r="L384" s="4"/>
      <c r="M384" s="4" t="s">
        <v>3193</v>
      </c>
    </row>
    <row r="385" spans="1:12" ht="60" x14ac:dyDescent="0.25">
      <c r="A385" s="27">
        <v>379</v>
      </c>
      <c r="B385" s="18" t="s">
        <v>1416</v>
      </c>
      <c r="C385" s="58" t="s">
        <v>1417</v>
      </c>
      <c r="D385" s="58" t="s">
        <v>1418</v>
      </c>
      <c r="E385" s="84" t="s">
        <v>1419</v>
      </c>
      <c r="G385" s="27"/>
      <c r="H385" s="101" t="str">
        <f t="shared" si="5"/>
        <v>NECOMPLETAT</v>
      </c>
      <c r="I385" s="4" t="s">
        <v>3183</v>
      </c>
      <c r="J385" s="4" t="s">
        <v>3183</v>
      </c>
      <c r="K385" s="4" t="s">
        <v>3180</v>
      </c>
      <c r="L385" s="4"/>
    </row>
    <row r="386" spans="1:12" ht="45" x14ac:dyDescent="0.25">
      <c r="A386" s="27">
        <v>380</v>
      </c>
      <c r="B386" s="8" t="s">
        <v>1420</v>
      </c>
      <c r="C386" s="62" t="s">
        <v>1421</v>
      </c>
      <c r="D386" s="62" t="s">
        <v>1422</v>
      </c>
      <c r="E386" s="86" t="s">
        <v>1423</v>
      </c>
      <c r="G386" s="27"/>
      <c r="H386" s="101" t="str">
        <f t="shared" si="5"/>
        <v>NECOMPLETAT</v>
      </c>
      <c r="I386" s="4" t="s">
        <v>3183</v>
      </c>
      <c r="J386" s="4" t="s">
        <v>3182</v>
      </c>
      <c r="K386" s="4" t="s">
        <v>3183</v>
      </c>
      <c r="L386" s="4"/>
    </row>
    <row r="387" spans="1:12" ht="45" x14ac:dyDescent="0.25">
      <c r="A387" s="27">
        <v>381</v>
      </c>
      <c r="B387" s="8" t="s">
        <v>1424</v>
      </c>
      <c r="C387" s="62" t="s">
        <v>1425</v>
      </c>
      <c r="D387" s="62" t="s">
        <v>1426</v>
      </c>
      <c r="E387" s="86" t="s">
        <v>1427</v>
      </c>
      <c r="G387" s="27"/>
      <c r="H387" s="101" t="str">
        <f t="shared" si="5"/>
        <v>NECOMPLETAT</v>
      </c>
      <c r="I387" s="4" t="s">
        <v>3183</v>
      </c>
      <c r="J387" s="4" t="s">
        <v>3183</v>
      </c>
      <c r="K387" s="4" t="s">
        <v>3180</v>
      </c>
      <c r="L387" s="4"/>
    </row>
    <row r="388" spans="1:12" ht="105" x14ac:dyDescent="0.25">
      <c r="A388" s="27">
        <v>382</v>
      </c>
      <c r="B388" s="8" t="s">
        <v>1428</v>
      </c>
      <c r="C388" s="62" t="s">
        <v>1429</v>
      </c>
      <c r="D388" s="62" t="s">
        <v>1430</v>
      </c>
      <c r="E388" s="86" t="s">
        <v>1431</v>
      </c>
      <c r="G388" s="27"/>
      <c r="H388" s="101" t="str">
        <f t="shared" si="5"/>
        <v>NECOMPLETAT</v>
      </c>
      <c r="I388" s="4" t="s">
        <v>3181</v>
      </c>
      <c r="J388" s="4" t="s">
        <v>3183</v>
      </c>
      <c r="K388" s="4" t="s">
        <v>3183</v>
      </c>
      <c r="L388" s="4"/>
    </row>
    <row r="389" spans="1:12" ht="90" x14ac:dyDescent="0.25">
      <c r="A389" s="27">
        <v>383</v>
      </c>
      <c r="B389" s="8" t="s">
        <v>1432</v>
      </c>
      <c r="C389" s="62" t="s">
        <v>1433</v>
      </c>
      <c r="D389" s="62" t="s">
        <v>1434</v>
      </c>
      <c r="E389" s="86" t="s">
        <v>1435</v>
      </c>
      <c r="G389" s="27"/>
      <c r="H389" s="101" t="str">
        <f t="shared" si="5"/>
        <v>NECOMPLETAT</v>
      </c>
      <c r="I389" s="4" t="s">
        <v>3183</v>
      </c>
      <c r="J389" s="4" t="s">
        <v>3183</v>
      </c>
      <c r="K389" s="4" t="s">
        <v>3180</v>
      </c>
      <c r="L389" s="4"/>
    </row>
    <row r="390" spans="1:12" ht="45" x14ac:dyDescent="0.25">
      <c r="A390" s="27">
        <v>384</v>
      </c>
      <c r="B390" s="8" t="s">
        <v>1436</v>
      </c>
      <c r="C390" s="62" t="s">
        <v>1437</v>
      </c>
      <c r="D390" s="62" t="s">
        <v>1438</v>
      </c>
      <c r="E390" s="86" t="s">
        <v>1439</v>
      </c>
      <c r="G390" s="27"/>
      <c r="H390" s="101" t="str">
        <f t="shared" si="5"/>
        <v>NECOMPLETAT</v>
      </c>
      <c r="I390" s="4" t="s">
        <v>3181</v>
      </c>
      <c r="J390" s="4" t="s">
        <v>3183</v>
      </c>
      <c r="K390" s="4" t="s">
        <v>3183</v>
      </c>
      <c r="L390" s="4"/>
    </row>
    <row r="391" spans="1:12" ht="45" x14ac:dyDescent="0.25">
      <c r="A391" s="27">
        <v>385</v>
      </c>
      <c r="B391" s="8" t="s">
        <v>1440</v>
      </c>
      <c r="C391" s="62" t="s">
        <v>1441</v>
      </c>
      <c r="D391" s="62" t="s">
        <v>1442</v>
      </c>
      <c r="E391" s="86" t="s">
        <v>1443</v>
      </c>
      <c r="G391" s="27"/>
      <c r="H391" s="101" t="str">
        <f t="shared" si="5"/>
        <v>NECOMPLETAT</v>
      </c>
      <c r="I391" s="4" t="s">
        <v>3181</v>
      </c>
      <c r="J391" s="4" t="s">
        <v>3183</v>
      </c>
      <c r="K391" s="4" t="s">
        <v>3183</v>
      </c>
      <c r="L391" s="4"/>
    </row>
    <row r="392" spans="1:12" ht="45" x14ac:dyDescent="0.25">
      <c r="A392" s="27">
        <v>386</v>
      </c>
      <c r="B392" s="8" t="s">
        <v>1444</v>
      </c>
      <c r="C392" s="62" t="s">
        <v>1445</v>
      </c>
      <c r="D392" s="62" t="s">
        <v>1446</v>
      </c>
      <c r="E392" s="86" t="s">
        <v>1447</v>
      </c>
      <c r="G392" s="27"/>
      <c r="H392" s="101" t="str">
        <f t="shared" ref="H392:H455" si="6">IF(G392=0,"NECOMPLETAT",IF(OR(G392=I392,G392=J392,G392=K392),"CORECT","GRESIT"))</f>
        <v>NECOMPLETAT</v>
      </c>
      <c r="I392" s="4" t="s">
        <v>3181</v>
      </c>
      <c r="J392" s="4" t="s">
        <v>3183</v>
      </c>
      <c r="K392" s="4" t="s">
        <v>3183</v>
      </c>
      <c r="L392" s="4"/>
    </row>
    <row r="393" spans="1:12" ht="45" x14ac:dyDescent="0.25">
      <c r="A393" s="27">
        <v>387</v>
      </c>
      <c r="B393" s="8" t="s">
        <v>1448</v>
      </c>
      <c r="C393" s="62" t="s">
        <v>1449</v>
      </c>
      <c r="D393" s="62" t="s">
        <v>1450</v>
      </c>
      <c r="E393" s="86" t="s">
        <v>1451</v>
      </c>
      <c r="G393" s="27"/>
      <c r="H393" s="101" t="str">
        <f t="shared" si="6"/>
        <v>NECOMPLETAT</v>
      </c>
      <c r="I393" s="4" t="s">
        <v>3183</v>
      </c>
      <c r="J393" s="4" t="s">
        <v>3182</v>
      </c>
      <c r="K393" s="4" t="s">
        <v>3183</v>
      </c>
      <c r="L393" s="4"/>
    </row>
    <row r="394" spans="1:12" ht="60" x14ac:dyDescent="0.25">
      <c r="A394" s="27">
        <v>388</v>
      </c>
      <c r="B394" s="15" t="s">
        <v>1452</v>
      </c>
      <c r="C394" s="62" t="s">
        <v>1453</v>
      </c>
      <c r="D394" s="62" t="s">
        <v>1454</v>
      </c>
      <c r="E394" s="86" t="s">
        <v>1455</v>
      </c>
      <c r="G394" s="27"/>
      <c r="H394" s="101" t="str">
        <f t="shared" si="6"/>
        <v>NECOMPLETAT</v>
      </c>
      <c r="I394" s="4" t="s">
        <v>3181</v>
      </c>
      <c r="J394" s="4" t="s">
        <v>3183</v>
      </c>
      <c r="K394" s="4" t="s">
        <v>3183</v>
      </c>
      <c r="L394" s="4"/>
    </row>
    <row r="395" spans="1:12" ht="60" x14ac:dyDescent="0.25">
      <c r="A395" s="27">
        <v>389</v>
      </c>
      <c r="B395" s="8" t="s">
        <v>1452</v>
      </c>
      <c r="C395" s="62" t="s">
        <v>1456</v>
      </c>
      <c r="D395" s="62" t="s">
        <v>1454</v>
      </c>
      <c r="E395" s="86" t="s">
        <v>1455</v>
      </c>
      <c r="G395" s="27"/>
      <c r="H395" s="101" t="str">
        <f t="shared" si="6"/>
        <v>NECOMPLETAT</v>
      </c>
      <c r="I395" s="4" t="s">
        <v>3181</v>
      </c>
      <c r="J395" s="4" t="s">
        <v>3183</v>
      </c>
      <c r="K395" s="4" t="s">
        <v>3183</v>
      </c>
      <c r="L395" s="4"/>
    </row>
    <row r="396" spans="1:12" ht="96" x14ac:dyDescent="0.25">
      <c r="A396" s="27">
        <v>390</v>
      </c>
      <c r="B396" s="8" t="s">
        <v>1457</v>
      </c>
      <c r="C396" s="62" t="s">
        <v>1458</v>
      </c>
      <c r="D396" s="66" t="s">
        <v>1459</v>
      </c>
      <c r="E396" s="86" t="s">
        <v>1460</v>
      </c>
      <c r="G396" s="27"/>
      <c r="H396" s="101" t="str">
        <f t="shared" si="6"/>
        <v>NECOMPLETAT</v>
      </c>
      <c r="I396" s="4" t="s">
        <v>3183</v>
      </c>
      <c r="J396" s="4" t="s">
        <v>3182</v>
      </c>
      <c r="K396" s="4" t="s">
        <v>3183</v>
      </c>
      <c r="L396" s="4"/>
    </row>
    <row r="397" spans="1:12" ht="90" x14ac:dyDescent="0.25">
      <c r="A397" s="27">
        <v>391</v>
      </c>
      <c r="B397" s="8" t="s">
        <v>1461</v>
      </c>
      <c r="C397" s="62" t="s">
        <v>1462</v>
      </c>
      <c r="D397" s="62" t="s">
        <v>1463</v>
      </c>
      <c r="E397" s="86" t="s">
        <v>1464</v>
      </c>
      <c r="G397" s="27"/>
      <c r="H397" s="101" t="str">
        <f t="shared" si="6"/>
        <v>NECOMPLETAT</v>
      </c>
      <c r="I397" s="4" t="s">
        <v>3181</v>
      </c>
      <c r="J397" s="4" t="s">
        <v>3183</v>
      </c>
      <c r="K397" s="4" t="s">
        <v>3183</v>
      </c>
      <c r="L397" s="4"/>
    </row>
    <row r="398" spans="1:12" ht="30" x14ac:dyDescent="0.25">
      <c r="A398" s="27">
        <v>392</v>
      </c>
      <c r="B398" s="8" t="s">
        <v>1465</v>
      </c>
      <c r="C398" s="65" t="s">
        <v>1466</v>
      </c>
      <c r="D398" s="65" t="s">
        <v>1467</v>
      </c>
      <c r="E398" s="89" t="s">
        <v>1468</v>
      </c>
      <c r="G398" s="27"/>
      <c r="H398" s="101" t="str">
        <f t="shared" si="6"/>
        <v>NECOMPLETAT</v>
      </c>
      <c r="I398" s="4" t="s">
        <v>3183</v>
      </c>
      <c r="J398" s="4" t="s">
        <v>3183</v>
      </c>
      <c r="K398" s="4" t="s">
        <v>3180</v>
      </c>
      <c r="L398" s="4"/>
    </row>
    <row r="399" spans="1:12" ht="60" x14ac:dyDescent="0.25">
      <c r="A399" s="27">
        <v>393</v>
      </c>
      <c r="B399" s="8" t="s">
        <v>1469</v>
      </c>
      <c r="C399" s="62" t="s">
        <v>1470</v>
      </c>
      <c r="D399" s="62" t="s">
        <v>1471</v>
      </c>
      <c r="E399" s="86" t="s">
        <v>1472</v>
      </c>
      <c r="G399" s="27"/>
      <c r="H399" s="101" t="str">
        <f t="shared" si="6"/>
        <v>NECOMPLETAT</v>
      </c>
      <c r="I399" s="4" t="s">
        <v>3181</v>
      </c>
      <c r="J399" s="4" t="s">
        <v>3183</v>
      </c>
      <c r="K399" s="4" t="s">
        <v>3183</v>
      </c>
      <c r="L399" s="4"/>
    </row>
    <row r="400" spans="1:12" ht="90" x14ac:dyDescent="0.25">
      <c r="A400" s="27">
        <v>394</v>
      </c>
      <c r="B400" s="8" t="s">
        <v>1473</v>
      </c>
      <c r="C400" s="62" t="s">
        <v>1474</v>
      </c>
      <c r="D400" s="62" t="s">
        <v>1475</v>
      </c>
      <c r="E400" s="86" t="s">
        <v>1185</v>
      </c>
      <c r="G400" s="27"/>
      <c r="H400" s="101" t="str">
        <f t="shared" si="6"/>
        <v>NECOMPLETAT</v>
      </c>
      <c r="I400" s="4" t="s">
        <v>3183</v>
      </c>
      <c r="J400" s="4" t="s">
        <v>3182</v>
      </c>
      <c r="K400" s="4" t="s">
        <v>3183</v>
      </c>
      <c r="L400" s="4"/>
    </row>
    <row r="401" spans="1:13" ht="60" x14ac:dyDescent="0.25">
      <c r="A401" s="27">
        <v>395</v>
      </c>
      <c r="B401" s="8" t="s">
        <v>1476</v>
      </c>
      <c r="C401" s="62" t="s">
        <v>1477</v>
      </c>
      <c r="D401" s="62" t="s">
        <v>1478</v>
      </c>
      <c r="E401" s="86" t="s">
        <v>1479</v>
      </c>
      <c r="G401" s="27"/>
      <c r="H401" s="101" t="str">
        <f t="shared" si="6"/>
        <v>NECOMPLETAT</v>
      </c>
      <c r="I401" s="4" t="s">
        <v>3183</v>
      </c>
      <c r="J401" s="4" t="s">
        <v>3182</v>
      </c>
      <c r="K401" s="4" t="s">
        <v>3183</v>
      </c>
      <c r="L401" s="4"/>
    </row>
    <row r="402" spans="1:13" ht="120" x14ac:dyDescent="0.25">
      <c r="A402" s="27">
        <v>396</v>
      </c>
      <c r="B402" s="8" t="s">
        <v>1480</v>
      </c>
      <c r="C402" s="62" t="s">
        <v>1481</v>
      </c>
      <c r="D402" s="62" t="s">
        <v>1482</v>
      </c>
      <c r="E402" s="86" t="s">
        <v>1483</v>
      </c>
      <c r="G402" s="27"/>
      <c r="H402" s="101" t="str">
        <f t="shared" si="6"/>
        <v>NECOMPLETAT</v>
      </c>
      <c r="I402" s="4" t="s">
        <v>3183</v>
      </c>
      <c r="J402" s="4" t="s">
        <v>3183</v>
      </c>
      <c r="K402" s="4" t="s">
        <v>3180</v>
      </c>
      <c r="L402" s="4"/>
    </row>
    <row r="403" spans="1:13" ht="90" x14ac:dyDescent="0.25">
      <c r="A403" s="27">
        <v>397</v>
      </c>
      <c r="B403" s="8" t="s">
        <v>1484</v>
      </c>
      <c r="C403" s="62" t="s">
        <v>1485</v>
      </c>
      <c r="D403" s="62" t="s">
        <v>1486</v>
      </c>
      <c r="E403" s="86" t="s">
        <v>1487</v>
      </c>
      <c r="G403" s="27"/>
      <c r="H403" s="101" t="str">
        <f t="shared" si="6"/>
        <v>NECOMPLETAT</v>
      </c>
      <c r="I403" s="4" t="s">
        <v>3183</v>
      </c>
      <c r="J403" s="4" t="s">
        <v>3182</v>
      </c>
      <c r="K403" s="4" t="s">
        <v>3183</v>
      </c>
      <c r="L403" s="4"/>
    </row>
    <row r="404" spans="1:13" ht="30" x14ac:dyDescent="0.25">
      <c r="A404" s="27">
        <v>398</v>
      </c>
      <c r="B404" s="8" t="s">
        <v>1488</v>
      </c>
      <c r="C404" s="62" t="s">
        <v>1489</v>
      </c>
      <c r="D404" s="62" t="s">
        <v>1490</v>
      </c>
      <c r="E404" s="86" t="s">
        <v>1491</v>
      </c>
      <c r="G404" s="27"/>
      <c r="H404" s="101" t="str">
        <f t="shared" si="6"/>
        <v>NECOMPLETAT</v>
      </c>
      <c r="I404" s="4" t="s">
        <v>3183</v>
      </c>
      <c r="J404" s="4" t="s">
        <v>3183</v>
      </c>
      <c r="K404" s="4" t="s">
        <v>3180</v>
      </c>
      <c r="L404" s="4"/>
    </row>
    <row r="405" spans="1:13" ht="45" x14ac:dyDescent="0.25">
      <c r="A405" s="27">
        <v>399</v>
      </c>
      <c r="B405" s="8" t="s">
        <v>1492</v>
      </c>
      <c r="C405" s="62" t="s">
        <v>1493</v>
      </c>
      <c r="D405" s="62" t="s">
        <v>1494</v>
      </c>
      <c r="E405" s="86" t="s">
        <v>1495</v>
      </c>
      <c r="G405" s="27"/>
      <c r="H405" s="101" t="str">
        <f t="shared" si="6"/>
        <v>NECOMPLETAT</v>
      </c>
      <c r="I405" s="4" t="s">
        <v>3181</v>
      </c>
      <c r="J405" s="4" t="s">
        <v>3183</v>
      </c>
      <c r="K405" s="4" t="s">
        <v>3183</v>
      </c>
      <c r="L405" s="4"/>
    </row>
    <row r="406" spans="1:13" ht="45" x14ac:dyDescent="0.25">
      <c r="A406" s="27">
        <v>400</v>
      </c>
      <c r="B406" s="8" t="s">
        <v>1492</v>
      </c>
      <c r="C406" s="62" t="s">
        <v>1494</v>
      </c>
      <c r="D406" s="62" t="s">
        <v>1496</v>
      </c>
      <c r="E406" s="86" t="s">
        <v>1495</v>
      </c>
      <c r="G406" s="27"/>
      <c r="H406" s="101" t="str">
        <f t="shared" si="6"/>
        <v>NECOMPLETAT</v>
      </c>
      <c r="I406" s="4" t="s">
        <v>3183</v>
      </c>
      <c r="J406" s="4" t="s">
        <v>3182</v>
      </c>
      <c r="K406" s="4" t="s">
        <v>3183</v>
      </c>
      <c r="L406" s="4"/>
    </row>
    <row r="407" spans="1:13" ht="45.75" thickBot="1" x14ac:dyDescent="0.3">
      <c r="A407" s="46">
        <v>401</v>
      </c>
      <c r="B407" s="47" t="s">
        <v>1497</v>
      </c>
      <c r="C407" s="67" t="s">
        <v>1498</v>
      </c>
      <c r="D407" s="67" t="s">
        <v>1499</v>
      </c>
      <c r="E407" s="90" t="s">
        <v>1496</v>
      </c>
      <c r="G407" s="27"/>
      <c r="H407" s="101" t="str">
        <f t="shared" si="6"/>
        <v>NECOMPLETAT</v>
      </c>
      <c r="I407" s="4" t="s">
        <v>3181</v>
      </c>
      <c r="J407" s="4" t="s">
        <v>3183</v>
      </c>
      <c r="K407" s="4" t="s">
        <v>3183</v>
      </c>
      <c r="L407" s="4"/>
    </row>
    <row r="408" spans="1:13" ht="61.5" x14ac:dyDescent="0.25">
      <c r="A408" s="50">
        <v>402</v>
      </c>
      <c r="B408" s="51" t="s">
        <v>1500</v>
      </c>
      <c r="C408" s="68" t="s">
        <v>1501</v>
      </c>
      <c r="D408" s="68" t="s">
        <v>1502</v>
      </c>
      <c r="E408" s="91" t="s">
        <v>1503</v>
      </c>
      <c r="G408" s="27"/>
      <c r="H408" s="101" t="str">
        <f t="shared" si="6"/>
        <v>NECOMPLETAT</v>
      </c>
      <c r="I408" s="4" t="s">
        <v>3183</v>
      </c>
      <c r="J408" s="4" t="s">
        <v>3182</v>
      </c>
      <c r="K408" s="4" t="s">
        <v>3183</v>
      </c>
      <c r="L408" s="4"/>
      <c r="M408" s="4" t="s">
        <v>3193</v>
      </c>
    </row>
    <row r="409" spans="1:13" ht="75" x14ac:dyDescent="0.25">
      <c r="A409" s="52">
        <v>403</v>
      </c>
      <c r="B409" s="8" t="s">
        <v>1504</v>
      </c>
      <c r="C409" s="62" t="s">
        <v>1505</v>
      </c>
      <c r="D409" s="62" t="s">
        <v>1506</v>
      </c>
      <c r="E409" s="86" t="s">
        <v>1507</v>
      </c>
      <c r="G409" s="27"/>
      <c r="H409" s="101" t="str">
        <f t="shared" si="6"/>
        <v>NECOMPLETAT</v>
      </c>
      <c r="I409" s="4" t="s">
        <v>3183</v>
      </c>
      <c r="J409" s="4" t="s">
        <v>3183</v>
      </c>
      <c r="K409" s="4" t="s">
        <v>3180</v>
      </c>
      <c r="L409" s="4"/>
    </row>
    <row r="410" spans="1:13" ht="75" x14ac:dyDescent="0.25">
      <c r="A410" s="52">
        <v>404</v>
      </c>
      <c r="B410" s="8" t="s">
        <v>1508</v>
      </c>
      <c r="C410" s="62" t="s">
        <v>1509</v>
      </c>
      <c r="D410" s="69" t="s">
        <v>1510</v>
      </c>
      <c r="E410" s="86" t="s">
        <v>1511</v>
      </c>
      <c r="G410" s="27"/>
      <c r="H410" s="101" t="str">
        <f t="shared" si="6"/>
        <v>NECOMPLETAT</v>
      </c>
      <c r="I410" s="4" t="s">
        <v>3183</v>
      </c>
      <c r="J410" s="4" t="s">
        <v>3182</v>
      </c>
      <c r="K410" s="4" t="s">
        <v>3183</v>
      </c>
      <c r="L410" s="4"/>
    </row>
    <row r="411" spans="1:13" ht="91.5" x14ac:dyDescent="0.25">
      <c r="A411" s="52">
        <v>405</v>
      </c>
      <c r="B411" s="8" t="s">
        <v>1512</v>
      </c>
      <c r="C411" s="64">
        <v>0.1</v>
      </c>
      <c r="D411" s="64">
        <v>0.05</v>
      </c>
      <c r="E411" s="88">
        <v>0.15</v>
      </c>
      <c r="G411" s="27"/>
      <c r="H411" s="101" t="str">
        <f t="shared" si="6"/>
        <v>NECOMPLETAT</v>
      </c>
      <c r="I411" s="4" t="s">
        <v>3183</v>
      </c>
      <c r="J411" s="4" t="s">
        <v>3182</v>
      </c>
      <c r="K411" s="4" t="s">
        <v>3183</v>
      </c>
      <c r="L411" s="4"/>
    </row>
    <row r="412" spans="1:13" ht="60" x14ac:dyDescent="0.25">
      <c r="A412" s="52">
        <v>406</v>
      </c>
      <c r="B412" s="8" t="s">
        <v>1513</v>
      </c>
      <c r="C412" s="62" t="s">
        <v>1514</v>
      </c>
      <c r="D412" s="62" t="s">
        <v>1515</v>
      </c>
      <c r="E412" s="86" t="s">
        <v>1516</v>
      </c>
      <c r="G412" s="27"/>
      <c r="H412" s="101" t="str">
        <f t="shared" si="6"/>
        <v>NECOMPLETAT</v>
      </c>
      <c r="I412" s="4" t="s">
        <v>3181</v>
      </c>
      <c r="J412" s="4" t="s">
        <v>3183</v>
      </c>
      <c r="K412" s="4" t="s">
        <v>3183</v>
      </c>
      <c r="L412" s="4"/>
    </row>
    <row r="413" spans="1:13" ht="45" x14ac:dyDescent="0.25">
      <c r="A413" s="52">
        <v>407</v>
      </c>
      <c r="B413" s="8" t="s">
        <v>1517</v>
      </c>
      <c r="C413" s="62" t="s">
        <v>1518</v>
      </c>
      <c r="D413" s="62" t="s">
        <v>1519</v>
      </c>
      <c r="E413" s="86" t="s">
        <v>1520</v>
      </c>
      <c r="G413" s="27"/>
      <c r="H413" s="101" t="str">
        <f t="shared" si="6"/>
        <v>NECOMPLETAT</v>
      </c>
      <c r="I413" s="4" t="s">
        <v>3183</v>
      </c>
      <c r="J413" s="4" t="s">
        <v>3183</v>
      </c>
      <c r="K413" s="4" t="s">
        <v>3180</v>
      </c>
      <c r="L413" s="4"/>
    </row>
    <row r="414" spans="1:13" ht="45" x14ac:dyDescent="0.25">
      <c r="A414" s="52">
        <v>408</v>
      </c>
      <c r="B414" s="8" t="s">
        <v>1521</v>
      </c>
      <c r="C414" s="62" t="s">
        <v>1522</v>
      </c>
      <c r="D414" s="62" t="s">
        <v>1523</v>
      </c>
      <c r="E414" s="86" t="s">
        <v>1524</v>
      </c>
      <c r="G414" s="27"/>
      <c r="H414" s="101" t="str">
        <f t="shared" si="6"/>
        <v>NECOMPLETAT</v>
      </c>
      <c r="I414" s="4" t="s">
        <v>3183</v>
      </c>
      <c r="J414" s="4" t="s">
        <v>3182</v>
      </c>
      <c r="K414" s="4" t="s">
        <v>3183</v>
      </c>
      <c r="L414" s="4"/>
    </row>
    <row r="415" spans="1:13" ht="75" x14ac:dyDescent="0.25">
      <c r="A415" s="52">
        <v>409</v>
      </c>
      <c r="B415" s="15" t="s">
        <v>1525</v>
      </c>
      <c r="C415" s="62" t="s">
        <v>1526</v>
      </c>
      <c r="D415" s="62" t="s">
        <v>1527</v>
      </c>
      <c r="E415" s="86" t="s">
        <v>1528</v>
      </c>
      <c r="G415" s="27"/>
      <c r="H415" s="101" t="str">
        <f t="shared" si="6"/>
        <v>NECOMPLETAT</v>
      </c>
      <c r="I415" s="4" t="s">
        <v>3183</v>
      </c>
      <c r="J415" s="4" t="s">
        <v>3182</v>
      </c>
      <c r="K415" s="4" t="s">
        <v>3183</v>
      </c>
      <c r="L415" s="4"/>
    </row>
    <row r="416" spans="1:13" ht="75" x14ac:dyDescent="0.25">
      <c r="A416" s="52">
        <v>410</v>
      </c>
      <c r="B416" s="8" t="s">
        <v>1525</v>
      </c>
      <c r="C416" s="62" t="s">
        <v>1526</v>
      </c>
      <c r="D416" s="62" t="s">
        <v>1529</v>
      </c>
      <c r="E416" s="86" t="s">
        <v>1530</v>
      </c>
      <c r="G416" s="27"/>
      <c r="H416" s="101" t="str">
        <f t="shared" si="6"/>
        <v>NECOMPLETAT</v>
      </c>
      <c r="I416" s="4" t="s">
        <v>3183</v>
      </c>
      <c r="J416" s="4" t="s">
        <v>3183</v>
      </c>
      <c r="K416" s="4" t="s">
        <v>3180</v>
      </c>
      <c r="L416" s="4"/>
    </row>
    <row r="417" spans="1:12" ht="30" x14ac:dyDescent="0.25">
      <c r="A417" s="52">
        <v>411</v>
      </c>
      <c r="B417" s="16" t="s">
        <v>1531</v>
      </c>
      <c r="C417" s="65" t="s">
        <v>1532</v>
      </c>
      <c r="D417" s="65" t="s">
        <v>1533</v>
      </c>
      <c r="E417" s="89" t="s">
        <v>1534</v>
      </c>
      <c r="G417" s="27"/>
      <c r="H417" s="101" t="str">
        <f t="shared" si="6"/>
        <v>NECOMPLETAT</v>
      </c>
      <c r="I417" s="4" t="s">
        <v>3183</v>
      </c>
      <c r="J417" s="4" t="s">
        <v>3182</v>
      </c>
      <c r="K417" s="4" t="s">
        <v>3183</v>
      </c>
      <c r="L417" s="4"/>
    </row>
    <row r="418" spans="1:12" ht="45" x14ac:dyDescent="0.25">
      <c r="A418" s="52">
        <v>412</v>
      </c>
      <c r="B418" s="8" t="s">
        <v>1535</v>
      </c>
      <c r="C418" s="65" t="s">
        <v>1536</v>
      </c>
      <c r="D418" s="62" t="s">
        <v>1537</v>
      </c>
      <c r="E418" s="86" t="s">
        <v>1538</v>
      </c>
      <c r="G418" s="27"/>
      <c r="H418" s="101" t="str">
        <f t="shared" si="6"/>
        <v>NECOMPLETAT</v>
      </c>
      <c r="I418" s="4" t="s">
        <v>3183</v>
      </c>
      <c r="J418" s="4" t="s">
        <v>3183</v>
      </c>
      <c r="K418" s="4" t="s">
        <v>3180</v>
      </c>
      <c r="L418" s="4"/>
    </row>
    <row r="419" spans="1:12" ht="60" x14ac:dyDescent="0.25">
      <c r="A419" s="52">
        <v>413</v>
      </c>
      <c r="B419" s="8" t="s">
        <v>1539</v>
      </c>
      <c r="C419" s="62" t="s">
        <v>1540</v>
      </c>
      <c r="D419" s="62" t="s">
        <v>1541</v>
      </c>
      <c r="E419" s="86" t="s">
        <v>1542</v>
      </c>
      <c r="G419" s="27"/>
      <c r="H419" s="101" t="str">
        <f t="shared" si="6"/>
        <v>NECOMPLETAT</v>
      </c>
      <c r="I419" s="4" t="s">
        <v>3183</v>
      </c>
      <c r="J419" s="4" t="s">
        <v>3183</v>
      </c>
      <c r="K419" s="4" t="s">
        <v>3180</v>
      </c>
      <c r="L419" s="4"/>
    </row>
    <row r="420" spans="1:12" ht="120" x14ac:dyDescent="0.25">
      <c r="A420" s="52">
        <v>414</v>
      </c>
      <c r="B420" s="8" t="s">
        <v>1543</v>
      </c>
      <c r="C420" s="62" t="s">
        <v>1544</v>
      </c>
      <c r="D420" s="62" t="s">
        <v>1545</v>
      </c>
      <c r="E420" s="86" t="s">
        <v>1546</v>
      </c>
      <c r="G420" s="27"/>
      <c r="H420" s="101" t="str">
        <f t="shared" si="6"/>
        <v>NECOMPLETAT</v>
      </c>
      <c r="I420" s="4" t="s">
        <v>3181</v>
      </c>
      <c r="J420" s="4" t="s">
        <v>3183</v>
      </c>
      <c r="K420" s="4" t="s">
        <v>3183</v>
      </c>
      <c r="L420" s="4"/>
    </row>
    <row r="421" spans="1:12" ht="45" x14ac:dyDescent="0.25">
      <c r="A421" s="52">
        <v>415</v>
      </c>
      <c r="B421" s="8" t="s">
        <v>1547</v>
      </c>
      <c r="C421" s="62" t="s">
        <v>1548</v>
      </c>
      <c r="D421" s="62" t="s">
        <v>1549</v>
      </c>
      <c r="E421" s="86" t="s">
        <v>1550</v>
      </c>
      <c r="G421" s="27"/>
      <c r="H421" s="101" t="str">
        <f t="shared" si="6"/>
        <v>NECOMPLETAT</v>
      </c>
      <c r="I421" s="4" t="s">
        <v>3183</v>
      </c>
      <c r="J421" s="4" t="s">
        <v>3182</v>
      </c>
      <c r="K421" s="4" t="s">
        <v>3183</v>
      </c>
      <c r="L421" s="4"/>
    </row>
    <row r="422" spans="1:12" ht="75" x14ac:dyDescent="0.25">
      <c r="A422" s="52">
        <v>416</v>
      </c>
      <c r="B422" s="8" t="s">
        <v>1551</v>
      </c>
      <c r="C422" s="62" t="s">
        <v>1552</v>
      </c>
      <c r="D422" s="62" t="s">
        <v>1553</v>
      </c>
      <c r="E422" s="86" t="s">
        <v>1554</v>
      </c>
      <c r="G422" s="27"/>
      <c r="H422" s="101" t="str">
        <f t="shared" si="6"/>
        <v>NECOMPLETAT</v>
      </c>
      <c r="I422" s="4" t="s">
        <v>3181</v>
      </c>
      <c r="J422" s="4" t="s">
        <v>3183</v>
      </c>
      <c r="K422" s="4" t="s">
        <v>3183</v>
      </c>
      <c r="L422" s="4"/>
    </row>
    <row r="423" spans="1:12" ht="58.15" customHeight="1" x14ac:dyDescent="0.25">
      <c r="A423" s="52">
        <v>417</v>
      </c>
      <c r="B423" s="8" t="s">
        <v>1555</v>
      </c>
      <c r="C423" s="62" t="s">
        <v>1556</v>
      </c>
      <c r="D423" s="62" t="s">
        <v>1557</v>
      </c>
      <c r="E423" s="86" t="s">
        <v>1558</v>
      </c>
      <c r="G423" s="27"/>
      <c r="H423" s="101" t="str">
        <f t="shared" si="6"/>
        <v>NECOMPLETAT</v>
      </c>
      <c r="I423" s="4" t="s">
        <v>3183</v>
      </c>
      <c r="J423" s="4" t="s">
        <v>3182</v>
      </c>
      <c r="K423" s="4" t="s">
        <v>3183</v>
      </c>
      <c r="L423" s="4"/>
    </row>
    <row r="424" spans="1:12" ht="60" x14ac:dyDescent="0.25">
      <c r="A424" s="52">
        <v>418</v>
      </c>
      <c r="B424" s="8" t="s">
        <v>1559</v>
      </c>
      <c r="C424" s="62" t="s">
        <v>1560</v>
      </c>
      <c r="D424" s="62" t="s">
        <v>1561</v>
      </c>
      <c r="E424" s="86" t="s">
        <v>1562</v>
      </c>
      <c r="G424" s="27"/>
      <c r="H424" s="101" t="str">
        <f t="shared" si="6"/>
        <v>NECOMPLETAT</v>
      </c>
      <c r="I424" s="4" t="s">
        <v>3181</v>
      </c>
      <c r="J424" s="4" t="s">
        <v>3183</v>
      </c>
      <c r="K424" s="4" t="s">
        <v>3183</v>
      </c>
      <c r="L424" s="4"/>
    </row>
    <row r="425" spans="1:12" ht="150" x14ac:dyDescent="0.25">
      <c r="A425" s="52">
        <v>419</v>
      </c>
      <c r="B425" s="8" t="s">
        <v>1563</v>
      </c>
      <c r="C425" s="69" t="s">
        <v>1564</v>
      </c>
      <c r="D425" s="69" t="s">
        <v>1565</v>
      </c>
      <c r="E425" s="92" t="s">
        <v>1566</v>
      </c>
      <c r="G425" s="27"/>
      <c r="H425" s="101" t="str">
        <f t="shared" si="6"/>
        <v>NECOMPLETAT</v>
      </c>
      <c r="I425" s="4" t="s">
        <v>3183</v>
      </c>
      <c r="J425" s="4" t="s">
        <v>3183</v>
      </c>
      <c r="K425" s="4" t="s">
        <v>3180</v>
      </c>
      <c r="L425" s="4"/>
    </row>
    <row r="426" spans="1:12" ht="60" x14ac:dyDescent="0.25">
      <c r="A426" s="52">
        <v>420</v>
      </c>
      <c r="B426" s="8" t="s">
        <v>1567</v>
      </c>
      <c r="C426" s="62" t="s">
        <v>1568</v>
      </c>
      <c r="D426" s="62" t="s">
        <v>1569</v>
      </c>
      <c r="E426" s="86" t="s">
        <v>1570</v>
      </c>
      <c r="G426" s="27"/>
      <c r="H426" s="101" t="str">
        <f t="shared" si="6"/>
        <v>NECOMPLETAT</v>
      </c>
      <c r="I426" s="4" t="s">
        <v>3183</v>
      </c>
      <c r="J426" s="4" t="s">
        <v>3182</v>
      </c>
      <c r="K426" s="4" t="s">
        <v>3183</v>
      </c>
      <c r="L426" s="4"/>
    </row>
    <row r="427" spans="1:12" ht="60" x14ac:dyDescent="0.25">
      <c r="A427" s="52">
        <v>421</v>
      </c>
      <c r="B427" s="8" t="s">
        <v>1571</v>
      </c>
      <c r="C427" s="62" t="s">
        <v>1572</v>
      </c>
      <c r="D427" s="62" t="s">
        <v>1573</v>
      </c>
      <c r="E427" s="86" t="s">
        <v>1574</v>
      </c>
      <c r="G427" s="27"/>
      <c r="H427" s="101" t="str">
        <f t="shared" si="6"/>
        <v>NECOMPLETAT</v>
      </c>
      <c r="I427" s="4" t="s">
        <v>3183</v>
      </c>
      <c r="J427" s="4" t="s">
        <v>3183</v>
      </c>
      <c r="K427" s="4" t="s">
        <v>3180</v>
      </c>
      <c r="L427" s="4"/>
    </row>
    <row r="428" spans="1:12" ht="45" x14ac:dyDescent="0.25">
      <c r="A428" s="52">
        <v>422</v>
      </c>
      <c r="B428" s="8" t="s">
        <v>1575</v>
      </c>
      <c r="C428" s="62" t="s">
        <v>1292</v>
      </c>
      <c r="D428" s="62" t="s">
        <v>1293</v>
      </c>
      <c r="E428" s="86" t="s">
        <v>1294</v>
      </c>
      <c r="G428" s="27"/>
      <c r="H428" s="101" t="str">
        <f t="shared" si="6"/>
        <v>NECOMPLETAT</v>
      </c>
      <c r="I428" s="4" t="s">
        <v>3183</v>
      </c>
      <c r="J428" s="4" t="s">
        <v>3183</v>
      </c>
      <c r="K428" s="4" t="s">
        <v>3180</v>
      </c>
      <c r="L428" s="4"/>
    </row>
    <row r="429" spans="1:12" ht="60" x14ac:dyDescent="0.25">
      <c r="A429" s="52">
        <v>423</v>
      </c>
      <c r="B429" s="8" t="s">
        <v>1576</v>
      </c>
      <c r="C429" s="62" t="s">
        <v>1577</v>
      </c>
      <c r="D429" s="62" t="s">
        <v>1578</v>
      </c>
      <c r="E429" s="86" t="s">
        <v>1579</v>
      </c>
      <c r="G429" s="27"/>
      <c r="H429" s="101" t="str">
        <f t="shared" si="6"/>
        <v>NECOMPLETAT</v>
      </c>
      <c r="I429" s="4" t="s">
        <v>3181</v>
      </c>
      <c r="J429" s="4" t="s">
        <v>3183</v>
      </c>
      <c r="K429" s="4" t="s">
        <v>3183</v>
      </c>
      <c r="L429" s="4"/>
    </row>
    <row r="430" spans="1:12" ht="30" x14ac:dyDescent="0.25">
      <c r="A430" s="52">
        <v>424</v>
      </c>
      <c r="B430" s="8" t="s">
        <v>1580</v>
      </c>
      <c r="C430" s="62" t="s">
        <v>1581</v>
      </c>
      <c r="D430" s="62" t="s">
        <v>1582</v>
      </c>
      <c r="E430" s="86" t="s">
        <v>1583</v>
      </c>
      <c r="G430" s="27"/>
      <c r="H430" s="101" t="str">
        <f t="shared" si="6"/>
        <v>NECOMPLETAT</v>
      </c>
      <c r="I430" s="4" t="s">
        <v>3181</v>
      </c>
      <c r="J430" s="4" t="s">
        <v>3183</v>
      </c>
      <c r="K430" s="4" t="s">
        <v>3183</v>
      </c>
      <c r="L430" s="4"/>
    </row>
    <row r="431" spans="1:12" ht="45" x14ac:dyDescent="0.25">
      <c r="A431" s="52">
        <v>425</v>
      </c>
      <c r="B431" s="8" t="s">
        <v>1584</v>
      </c>
      <c r="C431" s="62" t="s">
        <v>1582</v>
      </c>
      <c r="D431" s="62" t="s">
        <v>1585</v>
      </c>
      <c r="E431" s="86" t="s">
        <v>1350</v>
      </c>
      <c r="G431" s="27"/>
      <c r="H431" s="101" t="str">
        <f t="shared" si="6"/>
        <v>NECOMPLETAT</v>
      </c>
      <c r="I431" s="4" t="s">
        <v>3181</v>
      </c>
      <c r="J431" s="4" t="s">
        <v>3183</v>
      </c>
      <c r="K431" s="4" t="s">
        <v>3183</v>
      </c>
      <c r="L431" s="4"/>
    </row>
    <row r="432" spans="1:12" ht="45" x14ac:dyDescent="0.25">
      <c r="A432" s="52">
        <v>426</v>
      </c>
      <c r="B432" s="8" t="s">
        <v>1586</v>
      </c>
      <c r="C432" s="65" t="s">
        <v>1587</v>
      </c>
      <c r="D432" s="65" t="s">
        <v>1588</v>
      </c>
      <c r="E432" s="89" t="s">
        <v>1589</v>
      </c>
      <c r="G432" s="27"/>
      <c r="H432" s="101" t="str">
        <f t="shared" si="6"/>
        <v>NECOMPLETAT</v>
      </c>
      <c r="I432" s="4" t="s">
        <v>3183</v>
      </c>
      <c r="J432" s="4" t="s">
        <v>3182</v>
      </c>
      <c r="K432" s="4" t="s">
        <v>3183</v>
      </c>
      <c r="L432" s="4"/>
    </row>
    <row r="433" spans="1:12" ht="45" x14ac:dyDescent="0.25">
      <c r="A433" s="52">
        <v>427</v>
      </c>
      <c r="B433" s="8" t="s">
        <v>1590</v>
      </c>
      <c r="C433" s="62" t="s">
        <v>1591</v>
      </c>
      <c r="D433" s="62" t="s">
        <v>1592</v>
      </c>
      <c r="E433" s="86" t="s">
        <v>1593</v>
      </c>
      <c r="G433" s="27"/>
      <c r="H433" s="101" t="str">
        <f t="shared" si="6"/>
        <v>NECOMPLETAT</v>
      </c>
      <c r="I433" s="4" t="s">
        <v>3181</v>
      </c>
      <c r="J433" s="4" t="s">
        <v>3183</v>
      </c>
      <c r="K433" s="4" t="s">
        <v>3183</v>
      </c>
      <c r="L433" s="4"/>
    </row>
    <row r="434" spans="1:12" ht="45" x14ac:dyDescent="0.25">
      <c r="A434" s="52">
        <v>428</v>
      </c>
      <c r="B434" s="8" t="s">
        <v>1594</v>
      </c>
      <c r="C434" s="62" t="s">
        <v>1595</v>
      </c>
      <c r="D434" s="62" t="s">
        <v>1596</v>
      </c>
      <c r="E434" s="86" t="s">
        <v>1593</v>
      </c>
      <c r="G434" s="27"/>
      <c r="H434" s="101" t="str">
        <f t="shared" si="6"/>
        <v>NECOMPLETAT</v>
      </c>
      <c r="I434" s="4" t="s">
        <v>3183</v>
      </c>
      <c r="J434" s="4" t="s">
        <v>3183</v>
      </c>
      <c r="K434" s="4" t="s">
        <v>3180</v>
      </c>
      <c r="L434" s="4"/>
    </row>
    <row r="435" spans="1:12" ht="30" x14ac:dyDescent="0.25">
      <c r="A435" s="52">
        <v>429</v>
      </c>
      <c r="B435" s="16" t="s">
        <v>1597</v>
      </c>
      <c r="C435" s="65" t="s">
        <v>1598</v>
      </c>
      <c r="D435" s="65" t="s">
        <v>1599</v>
      </c>
      <c r="E435" s="89" t="s">
        <v>1600</v>
      </c>
      <c r="G435" s="27"/>
      <c r="H435" s="101" t="str">
        <f t="shared" si="6"/>
        <v>NECOMPLETAT</v>
      </c>
      <c r="I435" s="4" t="s">
        <v>3183</v>
      </c>
      <c r="J435" s="4" t="s">
        <v>3183</v>
      </c>
      <c r="K435" s="4" t="s">
        <v>3180</v>
      </c>
      <c r="L435" s="4"/>
    </row>
    <row r="436" spans="1:12" ht="45" x14ac:dyDescent="0.25">
      <c r="A436" s="52">
        <v>430</v>
      </c>
      <c r="B436" s="8" t="s">
        <v>1601</v>
      </c>
      <c r="C436" s="62" t="s">
        <v>1602</v>
      </c>
      <c r="D436" s="62" t="s">
        <v>1603</v>
      </c>
      <c r="E436" s="86" t="s">
        <v>1604</v>
      </c>
      <c r="G436" s="27"/>
      <c r="H436" s="101" t="str">
        <f t="shared" si="6"/>
        <v>NECOMPLETAT</v>
      </c>
      <c r="I436" s="4" t="s">
        <v>3183</v>
      </c>
      <c r="J436" s="4" t="s">
        <v>3182</v>
      </c>
      <c r="K436" s="4" t="s">
        <v>3183</v>
      </c>
      <c r="L436" s="4"/>
    </row>
    <row r="437" spans="1:12" ht="45" x14ac:dyDescent="0.25">
      <c r="A437" s="52">
        <v>431</v>
      </c>
      <c r="B437" s="8" t="s">
        <v>1605</v>
      </c>
      <c r="C437" s="62" t="s">
        <v>1606</v>
      </c>
      <c r="D437" s="62" t="s">
        <v>1607</v>
      </c>
      <c r="E437" s="86" t="s">
        <v>1608</v>
      </c>
      <c r="G437" s="27"/>
      <c r="H437" s="101" t="str">
        <f t="shared" si="6"/>
        <v>NECOMPLETAT</v>
      </c>
      <c r="I437" s="4" t="s">
        <v>3181</v>
      </c>
      <c r="J437" s="4" t="s">
        <v>3183</v>
      </c>
      <c r="K437" s="4" t="s">
        <v>3183</v>
      </c>
      <c r="L437" s="4"/>
    </row>
    <row r="438" spans="1:12" ht="120" x14ac:dyDescent="0.25">
      <c r="A438" s="52">
        <v>432</v>
      </c>
      <c r="B438" s="8" t="s">
        <v>1609</v>
      </c>
      <c r="C438" s="62" t="s">
        <v>1610</v>
      </c>
      <c r="D438" s="62" t="s">
        <v>1611</v>
      </c>
      <c r="E438" s="86" t="s">
        <v>1612</v>
      </c>
      <c r="G438" s="27"/>
      <c r="H438" s="101" t="str">
        <f t="shared" si="6"/>
        <v>NECOMPLETAT</v>
      </c>
      <c r="I438" s="4" t="s">
        <v>3183</v>
      </c>
      <c r="J438" s="4" t="s">
        <v>3182</v>
      </c>
      <c r="K438" s="4" t="s">
        <v>3183</v>
      </c>
      <c r="L438" s="4"/>
    </row>
    <row r="439" spans="1:12" ht="135" x14ac:dyDescent="0.25">
      <c r="A439" s="52">
        <v>433</v>
      </c>
      <c r="B439" s="19" t="s">
        <v>1613</v>
      </c>
      <c r="C439" s="57" t="s">
        <v>1611</v>
      </c>
      <c r="D439" s="59" t="s">
        <v>1614</v>
      </c>
      <c r="E439" s="83" t="s">
        <v>1612</v>
      </c>
      <c r="G439" s="27"/>
      <c r="H439" s="101" t="str">
        <f t="shared" si="6"/>
        <v>NECOMPLETAT</v>
      </c>
      <c r="I439" s="4" t="s">
        <v>3183</v>
      </c>
      <c r="J439" s="4" t="s">
        <v>3182</v>
      </c>
      <c r="K439" s="4" t="s">
        <v>3183</v>
      </c>
      <c r="L439" s="4"/>
    </row>
    <row r="440" spans="1:12" ht="60" x14ac:dyDescent="0.25">
      <c r="A440" s="52">
        <v>434</v>
      </c>
      <c r="B440" s="8" t="s">
        <v>1615</v>
      </c>
      <c r="C440" s="62" t="s">
        <v>1616</v>
      </c>
      <c r="D440" s="62" t="s">
        <v>1617</v>
      </c>
      <c r="E440" s="86" t="s">
        <v>1618</v>
      </c>
      <c r="G440" s="27"/>
      <c r="H440" s="101" t="str">
        <f t="shared" si="6"/>
        <v>NECOMPLETAT</v>
      </c>
      <c r="I440" s="4" t="s">
        <v>3183</v>
      </c>
      <c r="J440" s="4" t="s">
        <v>3182</v>
      </c>
      <c r="K440" s="4" t="s">
        <v>3183</v>
      </c>
      <c r="L440" s="4"/>
    </row>
    <row r="441" spans="1:12" ht="60" x14ac:dyDescent="0.25">
      <c r="A441" s="52">
        <v>435</v>
      </c>
      <c r="B441" s="8" t="s">
        <v>1619</v>
      </c>
      <c r="C441" s="62" t="s">
        <v>1614</v>
      </c>
      <c r="D441" s="62" t="s">
        <v>1620</v>
      </c>
      <c r="E441" s="86" t="s">
        <v>1621</v>
      </c>
      <c r="G441" s="27"/>
      <c r="H441" s="101" t="str">
        <f t="shared" si="6"/>
        <v>NECOMPLETAT</v>
      </c>
      <c r="I441" s="4" t="s">
        <v>3181</v>
      </c>
      <c r="J441" s="4" t="s">
        <v>3183</v>
      </c>
      <c r="K441" s="4" t="s">
        <v>3183</v>
      </c>
      <c r="L441" s="4"/>
    </row>
    <row r="442" spans="1:12" ht="105" x14ac:dyDescent="0.25">
      <c r="A442" s="52">
        <v>436</v>
      </c>
      <c r="B442" s="8" t="s">
        <v>1622</v>
      </c>
      <c r="C442" s="62" t="s">
        <v>1623</v>
      </c>
      <c r="D442" s="62" t="s">
        <v>1624</v>
      </c>
      <c r="E442" s="86" t="s">
        <v>1625</v>
      </c>
      <c r="G442" s="27"/>
      <c r="H442" s="101" t="str">
        <f t="shared" si="6"/>
        <v>NECOMPLETAT</v>
      </c>
      <c r="I442" s="4" t="s">
        <v>3181</v>
      </c>
      <c r="J442" s="4" t="s">
        <v>3183</v>
      </c>
      <c r="K442" s="4" t="s">
        <v>3183</v>
      </c>
      <c r="L442" s="4"/>
    </row>
    <row r="443" spans="1:12" ht="90" x14ac:dyDescent="0.25">
      <c r="A443" s="52">
        <v>437</v>
      </c>
      <c r="B443" s="8" t="s">
        <v>1626</v>
      </c>
      <c r="C443" s="62" t="s">
        <v>1624</v>
      </c>
      <c r="D443" s="62" t="s">
        <v>1623</v>
      </c>
      <c r="E443" s="86" t="s">
        <v>1625</v>
      </c>
      <c r="G443" s="27"/>
      <c r="H443" s="101" t="str">
        <f t="shared" si="6"/>
        <v>NECOMPLETAT</v>
      </c>
      <c r="I443" s="4" t="s">
        <v>3183</v>
      </c>
      <c r="J443" s="4" t="s">
        <v>3182</v>
      </c>
      <c r="K443" s="4" t="s">
        <v>3183</v>
      </c>
      <c r="L443" s="4"/>
    </row>
    <row r="444" spans="1:12" ht="45" x14ac:dyDescent="0.25">
      <c r="A444" s="52">
        <v>438</v>
      </c>
      <c r="B444" s="16" t="s">
        <v>1627</v>
      </c>
      <c r="C444" s="65" t="s">
        <v>1628</v>
      </c>
      <c r="D444" s="65" t="s">
        <v>1629</v>
      </c>
      <c r="E444" s="89" t="s">
        <v>1630</v>
      </c>
      <c r="G444" s="27"/>
      <c r="H444" s="101" t="str">
        <f t="shared" si="6"/>
        <v>NECOMPLETAT</v>
      </c>
      <c r="I444" s="4" t="s">
        <v>3183</v>
      </c>
      <c r="J444" s="4" t="s">
        <v>3183</v>
      </c>
      <c r="K444" s="4" t="s">
        <v>3180</v>
      </c>
      <c r="L444" s="4"/>
    </row>
    <row r="445" spans="1:12" ht="45" x14ac:dyDescent="0.25">
      <c r="A445" s="52">
        <v>439</v>
      </c>
      <c r="B445" s="16" t="s">
        <v>1631</v>
      </c>
      <c r="C445" s="65" t="s">
        <v>1632</v>
      </c>
      <c r="D445" s="62" t="s">
        <v>1633</v>
      </c>
      <c r="E445" s="86" t="s">
        <v>1634</v>
      </c>
      <c r="G445" s="27"/>
      <c r="H445" s="101" t="str">
        <f t="shared" si="6"/>
        <v>NECOMPLETAT</v>
      </c>
      <c r="I445" s="4" t="s">
        <v>3181</v>
      </c>
      <c r="J445" s="4" t="s">
        <v>3183</v>
      </c>
      <c r="K445" s="4" t="s">
        <v>3183</v>
      </c>
      <c r="L445" s="4"/>
    </row>
    <row r="446" spans="1:12" ht="45" x14ac:dyDescent="0.25">
      <c r="A446" s="52">
        <v>440</v>
      </c>
      <c r="B446" s="8" t="s">
        <v>1635</v>
      </c>
      <c r="C446" s="62" t="s">
        <v>1636</v>
      </c>
      <c r="D446" s="62" t="s">
        <v>1637</v>
      </c>
      <c r="E446" s="86" t="s">
        <v>1638</v>
      </c>
      <c r="G446" s="27"/>
      <c r="H446" s="101" t="str">
        <f t="shared" si="6"/>
        <v>NECOMPLETAT</v>
      </c>
      <c r="I446" s="4" t="s">
        <v>3183</v>
      </c>
      <c r="J446" s="4" t="s">
        <v>3182</v>
      </c>
      <c r="K446" s="4" t="s">
        <v>3183</v>
      </c>
      <c r="L446" s="4"/>
    </row>
    <row r="447" spans="1:12" ht="45" x14ac:dyDescent="0.25">
      <c r="A447" s="52">
        <v>441</v>
      </c>
      <c r="B447" s="8" t="s">
        <v>1639</v>
      </c>
      <c r="C447" s="62" t="s">
        <v>1640</v>
      </c>
      <c r="D447" s="62" t="s">
        <v>1641</v>
      </c>
      <c r="E447" s="86" t="s">
        <v>1642</v>
      </c>
      <c r="G447" s="27"/>
      <c r="H447" s="101" t="str">
        <f t="shared" si="6"/>
        <v>NECOMPLETAT</v>
      </c>
      <c r="I447" s="4" t="s">
        <v>3183</v>
      </c>
      <c r="J447" s="4" t="s">
        <v>3182</v>
      </c>
      <c r="K447" s="4" t="s">
        <v>3183</v>
      </c>
      <c r="L447" s="4"/>
    </row>
    <row r="448" spans="1:12" ht="45" x14ac:dyDescent="0.25">
      <c r="A448" s="52">
        <v>442</v>
      </c>
      <c r="B448" s="8" t="s">
        <v>1643</v>
      </c>
      <c r="C448" s="62" t="s">
        <v>1644</v>
      </c>
      <c r="D448" s="62" t="s">
        <v>1645</v>
      </c>
      <c r="E448" s="86" t="s">
        <v>1646</v>
      </c>
      <c r="G448" s="27"/>
      <c r="H448" s="101" t="str">
        <f t="shared" si="6"/>
        <v>NECOMPLETAT</v>
      </c>
      <c r="I448" s="4" t="s">
        <v>3183</v>
      </c>
      <c r="J448" s="4" t="s">
        <v>3183</v>
      </c>
      <c r="K448" s="4" t="s">
        <v>3180</v>
      </c>
      <c r="L448" s="4"/>
    </row>
    <row r="449" spans="1:13" ht="60" x14ac:dyDescent="0.25">
      <c r="A449" s="52">
        <v>443</v>
      </c>
      <c r="B449" s="8" t="s">
        <v>1647</v>
      </c>
      <c r="C449" s="62" t="s">
        <v>1648</v>
      </c>
      <c r="D449" s="62" t="s">
        <v>1160</v>
      </c>
      <c r="E449" s="86" t="s">
        <v>1649</v>
      </c>
      <c r="G449" s="27"/>
      <c r="H449" s="101" t="str">
        <f t="shared" si="6"/>
        <v>NECOMPLETAT</v>
      </c>
      <c r="I449" s="4" t="s">
        <v>3183</v>
      </c>
      <c r="J449" s="4" t="s">
        <v>3182</v>
      </c>
      <c r="K449" s="4" t="s">
        <v>3183</v>
      </c>
      <c r="L449" s="4"/>
    </row>
    <row r="450" spans="1:13" ht="45" x14ac:dyDescent="0.25">
      <c r="A450" s="52">
        <v>444</v>
      </c>
      <c r="B450" s="8" t="s">
        <v>1650</v>
      </c>
      <c r="C450" s="62" t="s">
        <v>1651</v>
      </c>
      <c r="D450" s="62" t="s">
        <v>1652</v>
      </c>
      <c r="E450" s="86" t="s">
        <v>1653</v>
      </c>
      <c r="G450" s="27"/>
      <c r="H450" s="101" t="str">
        <f t="shared" si="6"/>
        <v>NECOMPLETAT</v>
      </c>
      <c r="I450" s="4" t="s">
        <v>3183</v>
      </c>
      <c r="J450" s="4" t="s">
        <v>3182</v>
      </c>
      <c r="K450" s="4" t="s">
        <v>3183</v>
      </c>
      <c r="L450" s="4"/>
    </row>
    <row r="451" spans="1:13" ht="150" x14ac:dyDescent="0.25">
      <c r="A451" s="52">
        <v>445</v>
      </c>
      <c r="B451" s="8" t="s">
        <v>1654</v>
      </c>
      <c r="C451" s="62" t="s">
        <v>1655</v>
      </c>
      <c r="D451" s="62" t="s">
        <v>1656</v>
      </c>
      <c r="E451" s="86" t="s">
        <v>1657</v>
      </c>
      <c r="G451" s="27"/>
      <c r="H451" s="101" t="str">
        <f t="shared" si="6"/>
        <v>NECOMPLETAT</v>
      </c>
      <c r="I451" s="4" t="s">
        <v>3183</v>
      </c>
      <c r="J451" s="4" t="s">
        <v>3182</v>
      </c>
      <c r="K451" s="4" t="s">
        <v>3183</v>
      </c>
      <c r="L451" s="4"/>
    </row>
    <row r="452" spans="1:13" ht="30" x14ac:dyDescent="0.25">
      <c r="A452" s="52">
        <v>446</v>
      </c>
      <c r="B452" s="8" t="s">
        <v>1658</v>
      </c>
      <c r="C452" s="62" t="s">
        <v>1659</v>
      </c>
      <c r="D452" s="62" t="s">
        <v>1660</v>
      </c>
      <c r="E452" s="86" t="s">
        <v>1661</v>
      </c>
      <c r="G452" s="27"/>
      <c r="H452" s="101" t="str">
        <f t="shared" si="6"/>
        <v>NECOMPLETAT</v>
      </c>
      <c r="I452" s="4" t="s">
        <v>3183</v>
      </c>
      <c r="J452" s="4" t="s">
        <v>3183</v>
      </c>
      <c r="K452" s="4" t="s">
        <v>3180</v>
      </c>
      <c r="L452" s="4"/>
    </row>
    <row r="453" spans="1:13" ht="45" x14ac:dyDescent="0.25">
      <c r="A453" s="52">
        <v>447</v>
      </c>
      <c r="B453" s="16" t="s">
        <v>1662</v>
      </c>
      <c r="C453" s="65" t="s">
        <v>1663</v>
      </c>
      <c r="D453" s="65" t="s">
        <v>1664</v>
      </c>
      <c r="E453" s="89" t="s">
        <v>1665</v>
      </c>
      <c r="G453" s="27"/>
      <c r="H453" s="101" t="str">
        <f t="shared" si="6"/>
        <v>NECOMPLETAT</v>
      </c>
      <c r="I453" s="4" t="s">
        <v>3183</v>
      </c>
      <c r="J453" s="4" t="s">
        <v>3182</v>
      </c>
      <c r="K453" s="4" t="s">
        <v>3183</v>
      </c>
      <c r="L453" s="4"/>
    </row>
    <row r="454" spans="1:13" ht="45" x14ac:dyDescent="0.25">
      <c r="A454" s="52">
        <v>448</v>
      </c>
      <c r="B454" s="8" t="s">
        <v>1666</v>
      </c>
      <c r="C454" s="62" t="s">
        <v>1667</v>
      </c>
      <c r="D454" s="62" t="s">
        <v>1668</v>
      </c>
      <c r="E454" s="86" t="s">
        <v>1669</v>
      </c>
      <c r="G454" s="27"/>
      <c r="H454" s="101" t="str">
        <f t="shared" si="6"/>
        <v>NECOMPLETAT</v>
      </c>
      <c r="I454" s="4" t="s">
        <v>3181</v>
      </c>
      <c r="J454" s="4" t="s">
        <v>3183</v>
      </c>
      <c r="K454" s="4" t="s">
        <v>3183</v>
      </c>
      <c r="L454" s="4"/>
    </row>
    <row r="455" spans="1:13" ht="30" x14ac:dyDescent="0.25">
      <c r="A455" s="52">
        <v>449</v>
      </c>
      <c r="B455" s="8" t="s">
        <v>1670</v>
      </c>
      <c r="C455" s="62" t="s">
        <v>1671</v>
      </c>
      <c r="D455" s="62" t="s">
        <v>1672</v>
      </c>
      <c r="E455" s="86" t="s">
        <v>1673</v>
      </c>
      <c r="G455" s="27"/>
      <c r="H455" s="101" t="str">
        <f t="shared" si="6"/>
        <v>NECOMPLETAT</v>
      </c>
      <c r="I455" s="4" t="s">
        <v>3181</v>
      </c>
      <c r="J455" s="4" t="s">
        <v>3183</v>
      </c>
      <c r="K455" s="4" t="s">
        <v>3183</v>
      </c>
      <c r="L455" s="4"/>
      <c r="M455" s="4" t="s">
        <v>3193</v>
      </c>
    </row>
    <row r="456" spans="1:13" ht="30" x14ac:dyDescent="0.25">
      <c r="A456" s="52">
        <v>450</v>
      </c>
      <c r="B456" s="8" t="s">
        <v>1674</v>
      </c>
      <c r="C456" s="62" t="s">
        <v>1675</v>
      </c>
      <c r="D456" s="62" t="s">
        <v>1676</v>
      </c>
      <c r="E456" s="86" t="s">
        <v>1672</v>
      </c>
      <c r="G456" s="27"/>
      <c r="H456" s="101" t="str">
        <f t="shared" ref="H456:H519" si="7">IF(G456=0,"NECOMPLETAT",IF(OR(G456=I456,G456=J456,G456=K456),"CORECT","GRESIT"))</f>
        <v>NECOMPLETAT</v>
      </c>
      <c r="I456" s="4" t="s">
        <v>3181</v>
      </c>
      <c r="J456" s="4" t="s">
        <v>3183</v>
      </c>
      <c r="K456" s="4" t="s">
        <v>3183</v>
      </c>
      <c r="L456" s="4"/>
    </row>
    <row r="457" spans="1:13" ht="60" x14ac:dyDescent="0.25">
      <c r="A457" s="52">
        <v>451</v>
      </c>
      <c r="B457" s="8" t="s">
        <v>1677</v>
      </c>
      <c r="C457" s="62" t="s">
        <v>1678</v>
      </c>
      <c r="D457" s="62" t="s">
        <v>1679</v>
      </c>
      <c r="E457" s="86" t="s">
        <v>1680</v>
      </c>
      <c r="G457" s="27"/>
      <c r="H457" s="101" t="str">
        <f t="shared" si="7"/>
        <v>NECOMPLETAT</v>
      </c>
      <c r="I457" s="4" t="s">
        <v>3183</v>
      </c>
      <c r="J457" s="4" t="s">
        <v>3183</v>
      </c>
      <c r="K457" s="4" t="s">
        <v>3180</v>
      </c>
      <c r="L457" s="4"/>
    </row>
    <row r="458" spans="1:13" ht="60" x14ac:dyDescent="0.25">
      <c r="A458" s="52">
        <v>452</v>
      </c>
      <c r="B458" s="8" t="s">
        <v>1681</v>
      </c>
      <c r="C458" s="62" t="s">
        <v>1682</v>
      </c>
      <c r="D458" s="62" t="s">
        <v>1683</v>
      </c>
      <c r="E458" s="86" t="s">
        <v>1684</v>
      </c>
      <c r="G458" s="27"/>
      <c r="H458" s="101" t="str">
        <f t="shared" si="7"/>
        <v>NECOMPLETAT</v>
      </c>
      <c r="I458" s="4" t="s">
        <v>3183</v>
      </c>
      <c r="J458" s="4" t="s">
        <v>3182</v>
      </c>
      <c r="K458" s="4" t="s">
        <v>3183</v>
      </c>
      <c r="L458" s="4"/>
    </row>
    <row r="459" spans="1:13" ht="45" x14ac:dyDescent="0.25">
      <c r="A459" s="52">
        <v>453</v>
      </c>
      <c r="B459" s="8" t="s">
        <v>1685</v>
      </c>
      <c r="C459" s="62" t="s">
        <v>1686</v>
      </c>
      <c r="D459" s="62" t="s">
        <v>1687</v>
      </c>
      <c r="E459" s="86" t="s">
        <v>1688</v>
      </c>
      <c r="G459" s="27"/>
      <c r="H459" s="101" t="str">
        <f t="shared" si="7"/>
        <v>NECOMPLETAT</v>
      </c>
      <c r="I459" s="4" t="s">
        <v>3183</v>
      </c>
      <c r="J459" s="4" t="s">
        <v>3183</v>
      </c>
      <c r="K459" s="4" t="s">
        <v>3180</v>
      </c>
      <c r="L459" s="4"/>
      <c r="M459" s="4" t="s">
        <v>3193</v>
      </c>
    </row>
    <row r="460" spans="1:13" ht="45" x14ac:dyDescent="0.25">
      <c r="A460" s="52">
        <v>454</v>
      </c>
      <c r="B460" s="8" t="s">
        <v>1689</v>
      </c>
      <c r="C460" s="62" t="s">
        <v>1690</v>
      </c>
      <c r="D460" s="62" t="s">
        <v>1691</v>
      </c>
      <c r="E460" s="86" t="s">
        <v>1692</v>
      </c>
      <c r="G460" s="27"/>
      <c r="H460" s="101" t="str">
        <f t="shared" si="7"/>
        <v>NECOMPLETAT</v>
      </c>
      <c r="I460" s="4" t="s">
        <v>3183</v>
      </c>
      <c r="J460" s="4" t="s">
        <v>3182</v>
      </c>
      <c r="K460" s="4" t="s">
        <v>3183</v>
      </c>
      <c r="L460" s="4"/>
    </row>
    <row r="461" spans="1:13" ht="60" x14ac:dyDescent="0.25">
      <c r="A461" s="52">
        <v>455</v>
      </c>
      <c r="B461" s="16" t="s">
        <v>1693</v>
      </c>
      <c r="C461" s="65" t="s">
        <v>1694</v>
      </c>
      <c r="D461" s="65" t="s">
        <v>1695</v>
      </c>
      <c r="E461" s="89" t="s">
        <v>1696</v>
      </c>
      <c r="G461" s="27"/>
      <c r="H461" s="101" t="str">
        <f t="shared" si="7"/>
        <v>NECOMPLETAT</v>
      </c>
      <c r="I461" s="4" t="s">
        <v>3183</v>
      </c>
      <c r="J461" s="4" t="s">
        <v>3182</v>
      </c>
      <c r="K461" s="4" t="s">
        <v>3183</v>
      </c>
      <c r="L461" s="4"/>
    </row>
    <row r="462" spans="1:13" ht="60" x14ac:dyDescent="0.25">
      <c r="A462" s="52">
        <v>456</v>
      </c>
      <c r="B462" s="8" t="s">
        <v>1697</v>
      </c>
      <c r="C462" s="65" t="s">
        <v>1698</v>
      </c>
      <c r="D462" s="65" t="s">
        <v>1699</v>
      </c>
      <c r="E462" s="89" t="s">
        <v>1700</v>
      </c>
      <c r="G462" s="27"/>
      <c r="H462" s="101" t="str">
        <f t="shared" si="7"/>
        <v>NECOMPLETAT</v>
      </c>
      <c r="I462" s="4" t="s">
        <v>3183</v>
      </c>
      <c r="J462" s="4" t="s">
        <v>3182</v>
      </c>
      <c r="K462" s="4" t="s">
        <v>3183</v>
      </c>
      <c r="L462" s="4"/>
    </row>
    <row r="463" spans="1:13" ht="60" x14ac:dyDescent="0.25">
      <c r="A463" s="52">
        <v>457</v>
      </c>
      <c r="B463" s="8" t="s">
        <v>1701</v>
      </c>
      <c r="C463" s="65" t="s">
        <v>1702</v>
      </c>
      <c r="D463" s="65" t="s">
        <v>1700</v>
      </c>
      <c r="E463" s="89" t="s">
        <v>1703</v>
      </c>
      <c r="G463" s="27"/>
      <c r="H463" s="101" t="str">
        <f t="shared" si="7"/>
        <v>NECOMPLETAT</v>
      </c>
      <c r="I463" s="4" t="s">
        <v>3183</v>
      </c>
      <c r="J463" s="4" t="s">
        <v>3182</v>
      </c>
      <c r="K463" s="4" t="s">
        <v>3183</v>
      </c>
      <c r="L463" s="4"/>
    </row>
    <row r="464" spans="1:13" ht="45" x14ac:dyDescent="0.25">
      <c r="A464" s="52">
        <v>458</v>
      </c>
      <c r="B464" s="8" t="s">
        <v>1704</v>
      </c>
      <c r="C464" s="62" t="s">
        <v>1705</v>
      </c>
      <c r="D464" s="62" t="s">
        <v>1706</v>
      </c>
      <c r="E464" s="86" t="s">
        <v>1707</v>
      </c>
      <c r="G464" s="27"/>
      <c r="H464" s="101" t="str">
        <f t="shared" si="7"/>
        <v>NECOMPLETAT</v>
      </c>
      <c r="I464" s="4" t="s">
        <v>3183</v>
      </c>
      <c r="J464" s="4" t="s">
        <v>3182</v>
      </c>
      <c r="K464" s="4" t="s">
        <v>3183</v>
      </c>
      <c r="L464" s="4"/>
    </row>
    <row r="465" spans="1:13" ht="165" x14ac:dyDescent="0.25">
      <c r="A465" s="52">
        <v>459</v>
      </c>
      <c r="B465" s="8" t="s">
        <v>1708</v>
      </c>
      <c r="C465" s="62" t="s">
        <v>1709</v>
      </c>
      <c r="D465" s="62" t="s">
        <v>1710</v>
      </c>
      <c r="E465" s="86" t="s">
        <v>1711</v>
      </c>
      <c r="G465" s="27"/>
      <c r="H465" s="101" t="str">
        <f t="shared" si="7"/>
        <v>NECOMPLETAT</v>
      </c>
      <c r="I465" s="4" t="s">
        <v>3183</v>
      </c>
      <c r="J465" s="4" t="s">
        <v>3182</v>
      </c>
      <c r="K465" s="4" t="s">
        <v>3183</v>
      </c>
      <c r="L465" s="4"/>
    </row>
    <row r="466" spans="1:13" ht="60" x14ac:dyDescent="0.25">
      <c r="A466" s="52">
        <v>460</v>
      </c>
      <c r="B466" s="8" t="s">
        <v>1712</v>
      </c>
      <c r="C466" s="62" t="s">
        <v>1713</v>
      </c>
      <c r="D466" s="62" t="s">
        <v>1224</v>
      </c>
      <c r="E466" s="86" t="s">
        <v>1714</v>
      </c>
      <c r="G466" s="27"/>
      <c r="H466" s="101" t="str">
        <f t="shared" si="7"/>
        <v>NECOMPLETAT</v>
      </c>
      <c r="I466" s="4" t="s">
        <v>3181</v>
      </c>
      <c r="J466" s="4" t="s">
        <v>3183</v>
      </c>
      <c r="K466" s="4" t="s">
        <v>3183</v>
      </c>
      <c r="L466" s="4"/>
    </row>
    <row r="467" spans="1:13" ht="90" x14ac:dyDescent="0.25">
      <c r="A467" s="52">
        <v>461</v>
      </c>
      <c r="B467" s="8" t="s">
        <v>1715</v>
      </c>
      <c r="C467" s="62" t="s">
        <v>1716</v>
      </c>
      <c r="D467" s="62" t="s">
        <v>1717</v>
      </c>
      <c r="E467" s="86" t="s">
        <v>1718</v>
      </c>
      <c r="G467" s="27"/>
      <c r="H467" s="101" t="str">
        <f t="shared" si="7"/>
        <v>NECOMPLETAT</v>
      </c>
      <c r="I467" s="4" t="s">
        <v>3183</v>
      </c>
      <c r="J467" s="4" t="s">
        <v>3182</v>
      </c>
      <c r="K467" s="4" t="s">
        <v>3183</v>
      </c>
      <c r="L467" s="4"/>
    </row>
    <row r="468" spans="1:13" ht="90" x14ac:dyDescent="0.25">
      <c r="A468" s="52">
        <v>462</v>
      </c>
      <c r="B468" s="15" t="s">
        <v>1719</v>
      </c>
      <c r="C468" s="62" t="s">
        <v>1720</v>
      </c>
      <c r="D468" s="62" t="s">
        <v>1721</v>
      </c>
      <c r="E468" s="86" t="s">
        <v>1722</v>
      </c>
      <c r="G468" s="27"/>
      <c r="H468" s="101" t="str">
        <f t="shared" si="7"/>
        <v>NECOMPLETAT</v>
      </c>
      <c r="I468" s="4" t="s">
        <v>3181</v>
      </c>
      <c r="J468" s="4" t="s">
        <v>3183</v>
      </c>
      <c r="K468" s="4" t="s">
        <v>3183</v>
      </c>
      <c r="L468" s="4"/>
    </row>
    <row r="469" spans="1:13" ht="30" x14ac:dyDescent="0.25">
      <c r="A469" s="52">
        <v>463</v>
      </c>
      <c r="B469" s="8" t="s">
        <v>1723</v>
      </c>
      <c r="C469" s="62" t="s">
        <v>1724</v>
      </c>
      <c r="D469" s="62" t="s">
        <v>1725</v>
      </c>
      <c r="E469" s="86" t="s">
        <v>1726</v>
      </c>
      <c r="G469" s="27"/>
      <c r="H469" s="101" t="str">
        <f t="shared" si="7"/>
        <v>NECOMPLETAT</v>
      </c>
      <c r="I469" s="4" t="s">
        <v>3183</v>
      </c>
      <c r="J469" s="4" t="s">
        <v>3182</v>
      </c>
      <c r="K469" s="4" t="s">
        <v>3183</v>
      </c>
      <c r="L469" s="4"/>
    </row>
    <row r="470" spans="1:13" ht="60" x14ac:dyDescent="0.25">
      <c r="A470" s="52">
        <v>464</v>
      </c>
      <c r="B470" s="16" t="s">
        <v>1727</v>
      </c>
      <c r="C470" s="62" t="s">
        <v>1728</v>
      </c>
      <c r="D470" s="62" t="s">
        <v>1729</v>
      </c>
      <c r="E470" s="86" t="s">
        <v>1730</v>
      </c>
      <c r="G470" s="27"/>
      <c r="H470" s="101" t="str">
        <f t="shared" si="7"/>
        <v>NECOMPLETAT</v>
      </c>
      <c r="I470" s="4" t="s">
        <v>3181</v>
      </c>
      <c r="J470" s="4" t="s">
        <v>3183</v>
      </c>
      <c r="K470" s="4" t="s">
        <v>3183</v>
      </c>
      <c r="L470" s="4"/>
    </row>
    <row r="471" spans="1:13" ht="69.599999999999994" customHeight="1" x14ac:dyDescent="0.25">
      <c r="A471" s="52">
        <v>465</v>
      </c>
      <c r="B471" s="8" t="s">
        <v>1731</v>
      </c>
      <c r="C471" s="62" t="s">
        <v>1732</v>
      </c>
      <c r="D471" s="62" t="s">
        <v>1733</v>
      </c>
      <c r="E471" s="86" t="s">
        <v>1734</v>
      </c>
      <c r="G471" s="27"/>
      <c r="H471" s="101" t="str">
        <f t="shared" si="7"/>
        <v>NECOMPLETAT</v>
      </c>
      <c r="I471" s="4" t="s">
        <v>3181</v>
      </c>
      <c r="J471" s="4" t="s">
        <v>3183</v>
      </c>
      <c r="K471" s="4" t="s">
        <v>3183</v>
      </c>
      <c r="L471" s="4"/>
    </row>
    <row r="472" spans="1:13" ht="60" x14ac:dyDescent="0.25">
      <c r="A472" s="52">
        <v>466</v>
      </c>
      <c r="B472" s="8" t="s">
        <v>1735</v>
      </c>
      <c r="C472" s="62" t="s">
        <v>1736</v>
      </c>
      <c r="D472" s="62" t="s">
        <v>1729</v>
      </c>
      <c r="E472" s="86" t="s">
        <v>1737</v>
      </c>
      <c r="G472" s="27"/>
      <c r="H472" s="101" t="str">
        <f t="shared" si="7"/>
        <v>NECOMPLETAT</v>
      </c>
      <c r="I472" s="4" t="s">
        <v>3183</v>
      </c>
      <c r="J472" s="4" t="s">
        <v>3182</v>
      </c>
      <c r="K472" s="4" t="s">
        <v>3183</v>
      </c>
      <c r="L472" s="4"/>
    </row>
    <row r="473" spans="1:13" ht="60" x14ac:dyDescent="0.25">
      <c r="A473" s="52">
        <v>467</v>
      </c>
      <c r="B473" s="8" t="s">
        <v>1738</v>
      </c>
      <c r="C473" s="62" t="s">
        <v>1739</v>
      </c>
      <c r="D473" s="62" t="s">
        <v>1740</v>
      </c>
      <c r="E473" s="86" t="s">
        <v>1741</v>
      </c>
      <c r="G473" s="27"/>
      <c r="H473" s="101" t="str">
        <f t="shared" si="7"/>
        <v>NECOMPLETAT</v>
      </c>
      <c r="I473" s="4" t="s">
        <v>3181</v>
      </c>
      <c r="J473" s="4" t="s">
        <v>3183</v>
      </c>
      <c r="K473" s="4" t="s">
        <v>3183</v>
      </c>
      <c r="L473" s="4"/>
      <c r="M473" s="4" t="s">
        <v>3193</v>
      </c>
    </row>
    <row r="474" spans="1:13" ht="45" x14ac:dyDescent="0.25">
      <c r="A474" s="52">
        <v>468</v>
      </c>
      <c r="B474" s="8" t="s">
        <v>1742</v>
      </c>
      <c r="C474" s="62" t="s">
        <v>1743</v>
      </c>
      <c r="D474" s="62" t="s">
        <v>1744</v>
      </c>
      <c r="E474" s="86" t="s">
        <v>1745</v>
      </c>
      <c r="G474" s="27"/>
      <c r="H474" s="101" t="str">
        <f t="shared" si="7"/>
        <v>NECOMPLETAT</v>
      </c>
      <c r="I474" s="4" t="s">
        <v>3183</v>
      </c>
      <c r="J474" s="4" t="s">
        <v>3183</v>
      </c>
      <c r="K474" s="4" t="s">
        <v>3180</v>
      </c>
      <c r="L474" s="4"/>
    </row>
    <row r="475" spans="1:13" ht="30" x14ac:dyDescent="0.25">
      <c r="A475" s="52">
        <v>469</v>
      </c>
      <c r="B475" s="16" t="s">
        <v>1746</v>
      </c>
      <c r="C475" s="62" t="s">
        <v>1747</v>
      </c>
      <c r="D475" s="62" t="s">
        <v>1748</v>
      </c>
      <c r="E475" s="89" t="s">
        <v>1749</v>
      </c>
      <c r="G475" s="27"/>
      <c r="H475" s="101" t="str">
        <f t="shared" si="7"/>
        <v>NECOMPLETAT</v>
      </c>
      <c r="I475" s="4" t="s">
        <v>3183</v>
      </c>
      <c r="J475" s="4" t="s">
        <v>3182</v>
      </c>
      <c r="K475" s="4" t="s">
        <v>3183</v>
      </c>
      <c r="L475" s="4"/>
    </row>
    <row r="476" spans="1:13" ht="60" x14ac:dyDescent="0.25">
      <c r="A476" s="52">
        <v>470</v>
      </c>
      <c r="B476" s="8" t="s">
        <v>1750</v>
      </c>
      <c r="C476" s="62" t="s">
        <v>1751</v>
      </c>
      <c r="D476" s="62" t="s">
        <v>1752</v>
      </c>
      <c r="E476" s="86" t="s">
        <v>1753</v>
      </c>
      <c r="G476" s="27"/>
      <c r="H476" s="101" t="str">
        <f t="shared" si="7"/>
        <v>NECOMPLETAT</v>
      </c>
      <c r="I476" s="4" t="s">
        <v>3183</v>
      </c>
      <c r="J476" s="4" t="s">
        <v>3183</v>
      </c>
      <c r="K476" s="4" t="s">
        <v>3180</v>
      </c>
      <c r="L476" s="4"/>
    </row>
    <row r="477" spans="1:13" ht="45" x14ac:dyDescent="0.25">
      <c r="A477" s="52">
        <v>471</v>
      </c>
      <c r="B477" s="8" t="s">
        <v>1754</v>
      </c>
      <c r="C477" s="62" t="s">
        <v>1755</v>
      </c>
      <c r="D477" s="62" t="s">
        <v>1756</v>
      </c>
      <c r="E477" s="86" t="s">
        <v>1757</v>
      </c>
      <c r="G477" s="27"/>
      <c r="H477" s="101" t="str">
        <f t="shared" si="7"/>
        <v>NECOMPLETAT</v>
      </c>
      <c r="I477" s="4" t="s">
        <v>3183</v>
      </c>
      <c r="J477" s="4" t="s">
        <v>3182</v>
      </c>
      <c r="K477" s="4" t="s">
        <v>3183</v>
      </c>
      <c r="L477" s="4"/>
    </row>
    <row r="478" spans="1:13" ht="90" x14ac:dyDescent="0.25">
      <c r="A478" s="52">
        <v>472</v>
      </c>
      <c r="B478" s="8" t="s">
        <v>1758</v>
      </c>
      <c r="C478" s="62" t="s">
        <v>1759</v>
      </c>
      <c r="D478" s="62" t="s">
        <v>1760</v>
      </c>
      <c r="E478" s="86" t="s">
        <v>1761</v>
      </c>
      <c r="G478" s="27"/>
      <c r="H478" s="101" t="str">
        <f t="shared" si="7"/>
        <v>NECOMPLETAT</v>
      </c>
      <c r="I478" s="4" t="s">
        <v>3181</v>
      </c>
      <c r="J478" s="4" t="s">
        <v>3183</v>
      </c>
      <c r="K478" s="4" t="s">
        <v>3183</v>
      </c>
      <c r="L478" s="4"/>
    </row>
    <row r="479" spans="1:13" ht="45" x14ac:dyDescent="0.25">
      <c r="A479" s="52">
        <v>473</v>
      </c>
      <c r="B479" s="8" t="s">
        <v>1762</v>
      </c>
      <c r="C479" s="65" t="s">
        <v>1611</v>
      </c>
      <c r="D479" s="62" t="s">
        <v>1763</v>
      </c>
      <c r="E479" s="86" t="s">
        <v>1764</v>
      </c>
      <c r="G479" s="27"/>
      <c r="H479" s="101" t="str">
        <f t="shared" si="7"/>
        <v>NECOMPLETAT</v>
      </c>
      <c r="I479" s="4" t="s">
        <v>3183</v>
      </c>
      <c r="J479" s="4" t="s">
        <v>3183</v>
      </c>
      <c r="K479" s="4" t="s">
        <v>3180</v>
      </c>
      <c r="L479" s="4"/>
    </row>
    <row r="480" spans="1:13" ht="45" x14ac:dyDescent="0.25">
      <c r="A480" s="52">
        <v>474</v>
      </c>
      <c r="B480" s="15" t="s">
        <v>1765</v>
      </c>
      <c r="C480" s="62" t="s">
        <v>1766</v>
      </c>
      <c r="D480" s="62" t="s">
        <v>1767</v>
      </c>
      <c r="E480" s="86" t="s">
        <v>1768</v>
      </c>
      <c r="G480" s="27"/>
      <c r="H480" s="101" t="str">
        <f t="shared" si="7"/>
        <v>NECOMPLETAT</v>
      </c>
      <c r="I480" s="4" t="s">
        <v>3181</v>
      </c>
      <c r="J480" s="4" t="s">
        <v>3183</v>
      </c>
      <c r="K480" s="4" t="s">
        <v>3183</v>
      </c>
      <c r="L480" s="4"/>
    </row>
    <row r="481" spans="1:12" ht="45" x14ac:dyDescent="0.25">
      <c r="A481" s="52">
        <v>475</v>
      </c>
      <c r="B481" s="8" t="s">
        <v>1765</v>
      </c>
      <c r="C481" s="62" t="s">
        <v>1769</v>
      </c>
      <c r="D481" s="62" t="s">
        <v>1770</v>
      </c>
      <c r="E481" s="86" t="s">
        <v>1768</v>
      </c>
      <c r="G481" s="27"/>
      <c r="H481" s="101" t="str">
        <f t="shared" si="7"/>
        <v>NECOMPLETAT</v>
      </c>
      <c r="I481" s="4" t="s">
        <v>3183</v>
      </c>
      <c r="J481" s="4" t="s">
        <v>3182</v>
      </c>
      <c r="K481" s="4" t="s">
        <v>3183</v>
      </c>
      <c r="L481" s="4"/>
    </row>
    <row r="482" spans="1:12" ht="30" x14ac:dyDescent="0.25">
      <c r="A482" s="52">
        <v>476</v>
      </c>
      <c r="B482" s="15" t="s">
        <v>1771</v>
      </c>
      <c r="C482" s="62" t="s">
        <v>1772</v>
      </c>
      <c r="D482" s="62" t="s">
        <v>1773</v>
      </c>
      <c r="E482" s="86" t="s">
        <v>1774</v>
      </c>
      <c r="G482" s="27"/>
      <c r="H482" s="101" t="str">
        <f t="shared" si="7"/>
        <v>NECOMPLETAT</v>
      </c>
      <c r="I482" s="4" t="s">
        <v>3183</v>
      </c>
      <c r="J482" s="4" t="s">
        <v>3182</v>
      </c>
      <c r="K482" s="4" t="s">
        <v>3183</v>
      </c>
      <c r="L482" s="4"/>
    </row>
    <row r="483" spans="1:12" ht="30" x14ac:dyDescent="0.25">
      <c r="A483" s="52">
        <v>477</v>
      </c>
      <c r="B483" s="8" t="s">
        <v>1771</v>
      </c>
      <c r="C483" s="62" t="s">
        <v>1772</v>
      </c>
      <c r="D483" s="62" t="s">
        <v>1773</v>
      </c>
      <c r="E483" s="86" t="s">
        <v>1775</v>
      </c>
      <c r="G483" s="27"/>
      <c r="H483" s="101" t="str">
        <f t="shared" si="7"/>
        <v>NECOMPLETAT</v>
      </c>
      <c r="I483" s="4" t="s">
        <v>3183</v>
      </c>
      <c r="J483" s="4" t="s">
        <v>3182</v>
      </c>
      <c r="K483" s="4" t="s">
        <v>3183</v>
      </c>
      <c r="L483" s="4"/>
    </row>
    <row r="484" spans="1:12" ht="60" x14ac:dyDescent="0.25">
      <c r="A484" s="52">
        <v>478</v>
      </c>
      <c r="B484" s="8" t="s">
        <v>1776</v>
      </c>
      <c r="C484" s="62" t="s">
        <v>1777</v>
      </c>
      <c r="D484" s="62" t="s">
        <v>1778</v>
      </c>
      <c r="E484" s="86" t="s">
        <v>1779</v>
      </c>
      <c r="G484" s="27"/>
      <c r="H484" s="101" t="str">
        <f t="shared" si="7"/>
        <v>NECOMPLETAT</v>
      </c>
      <c r="I484" s="4" t="s">
        <v>3181</v>
      </c>
      <c r="J484" s="4" t="s">
        <v>3183</v>
      </c>
      <c r="K484" s="4" t="s">
        <v>3183</v>
      </c>
      <c r="L484" s="4"/>
    </row>
    <row r="485" spans="1:12" ht="75" x14ac:dyDescent="0.25">
      <c r="A485" s="52">
        <v>479</v>
      </c>
      <c r="B485" s="8" t="s">
        <v>1780</v>
      </c>
      <c r="C485" s="62" t="s">
        <v>1781</v>
      </c>
      <c r="D485" s="62" t="s">
        <v>1782</v>
      </c>
      <c r="E485" s="86" t="s">
        <v>1783</v>
      </c>
      <c r="G485" s="27"/>
      <c r="H485" s="101" t="str">
        <f t="shared" si="7"/>
        <v>NECOMPLETAT</v>
      </c>
      <c r="I485" s="4" t="s">
        <v>3181</v>
      </c>
      <c r="J485" s="4" t="s">
        <v>3183</v>
      </c>
      <c r="K485" s="4" t="s">
        <v>3183</v>
      </c>
      <c r="L485" s="4"/>
    </row>
    <row r="486" spans="1:12" ht="75" x14ac:dyDescent="0.25">
      <c r="A486" s="52">
        <v>480</v>
      </c>
      <c r="B486" s="15" t="s">
        <v>1784</v>
      </c>
      <c r="C486" s="62" t="s">
        <v>1781</v>
      </c>
      <c r="D486" s="62" t="s">
        <v>1782</v>
      </c>
      <c r="E486" s="86" t="s">
        <v>1785</v>
      </c>
      <c r="G486" s="27"/>
      <c r="H486" s="101" t="str">
        <f t="shared" si="7"/>
        <v>NECOMPLETAT</v>
      </c>
      <c r="I486" s="4" t="s">
        <v>3181</v>
      </c>
      <c r="J486" s="4" t="s">
        <v>3183</v>
      </c>
      <c r="K486" s="4" t="s">
        <v>3180</v>
      </c>
      <c r="L486" s="4"/>
    </row>
    <row r="487" spans="1:12" ht="60" x14ac:dyDescent="0.25">
      <c r="A487" s="52">
        <v>481</v>
      </c>
      <c r="B487" s="8" t="s">
        <v>1786</v>
      </c>
      <c r="C487" s="62" t="s">
        <v>1787</v>
      </c>
      <c r="D487" s="62" t="s">
        <v>1788</v>
      </c>
      <c r="E487" s="86" t="s">
        <v>1789</v>
      </c>
      <c r="G487" s="27"/>
      <c r="H487" s="101" t="str">
        <f t="shared" si="7"/>
        <v>NECOMPLETAT</v>
      </c>
      <c r="I487" s="4" t="s">
        <v>3183</v>
      </c>
      <c r="J487" s="4" t="s">
        <v>3183</v>
      </c>
      <c r="K487" s="4" t="s">
        <v>3180</v>
      </c>
      <c r="L487" s="4"/>
    </row>
    <row r="488" spans="1:12" ht="30" x14ac:dyDescent="0.25">
      <c r="A488" s="52">
        <v>482</v>
      </c>
      <c r="B488" s="8" t="s">
        <v>1790</v>
      </c>
      <c r="C488" s="62" t="s">
        <v>1791</v>
      </c>
      <c r="D488" s="62" t="s">
        <v>1792</v>
      </c>
      <c r="E488" s="86" t="s">
        <v>1793</v>
      </c>
      <c r="G488" s="27"/>
      <c r="H488" s="101" t="str">
        <f t="shared" si="7"/>
        <v>NECOMPLETAT</v>
      </c>
      <c r="I488" s="4" t="s">
        <v>3181</v>
      </c>
      <c r="J488" s="4" t="s">
        <v>3183</v>
      </c>
      <c r="K488" s="4" t="s">
        <v>3183</v>
      </c>
      <c r="L488" s="4"/>
    </row>
    <row r="489" spans="1:12" ht="45" x14ac:dyDescent="0.25">
      <c r="A489" s="52">
        <v>483</v>
      </c>
      <c r="B489" s="8" t="s">
        <v>1794</v>
      </c>
      <c r="C489" s="62" t="s">
        <v>1795</v>
      </c>
      <c r="D489" s="62" t="s">
        <v>1796</v>
      </c>
      <c r="E489" s="86" t="s">
        <v>1797</v>
      </c>
      <c r="G489" s="27"/>
      <c r="H489" s="101" t="str">
        <f t="shared" si="7"/>
        <v>NECOMPLETAT</v>
      </c>
      <c r="I489" s="4" t="s">
        <v>3181</v>
      </c>
      <c r="J489" s="4" t="s">
        <v>3183</v>
      </c>
      <c r="K489" s="4" t="s">
        <v>3183</v>
      </c>
      <c r="L489" s="4"/>
    </row>
    <row r="490" spans="1:12" ht="45" x14ac:dyDescent="0.25">
      <c r="A490" s="52">
        <v>484</v>
      </c>
      <c r="B490" s="8" t="s">
        <v>1798</v>
      </c>
      <c r="C490" s="62" t="s">
        <v>1799</v>
      </c>
      <c r="D490" s="62" t="s">
        <v>1800</v>
      </c>
      <c r="E490" s="86" t="s">
        <v>1801</v>
      </c>
      <c r="G490" s="27"/>
      <c r="H490" s="101" t="str">
        <f t="shared" si="7"/>
        <v>NECOMPLETAT</v>
      </c>
      <c r="I490" s="4" t="s">
        <v>3181</v>
      </c>
      <c r="J490" s="4" t="s">
        <v>3183</v>
      </c>
      <c r="K490" s="4" t="s">
        <v>3183</v>
      </c>
      <c r="L490" s="4"/>
    </row>
    <row r="491" spans="1:12" ht="75" x14ac:dyDescent="0.25">
      <c r="A491" s="52">
        <v>485</v>
      </c>
      <c r="B491" s="8" t="s">
        <v>1802</v>
      </c>
      <c r="C491" s="62" t="s">
        <v>1803</v>
      </c>
      <c r="D491" s="62" t="s">
        <v>1804</v>
      </c>
      <c r="E491" s="86" t="s">
        <v>1805</v>
      </c>
      <c r="G491" s="27"/>
      <c r="H491" s="101" t="str">
        <f t="shared" si="7"/>
        <v>NECOMPLETAT</v>
      </c>
      <c r="I491" s="4" t="s">
        <v>3183</v>
      </c>
      <c r="J491" s="4" t="s">
        <v>3183</v>
      </c>
      <c r="K491" s="4" t="s">
        <v>3180</v>
      </c>
      <c r="L491" s="4"/>
    </row>
    <row r="492" spans="1:12" ht="30" x14ac:dyDescent="0.25">
      <c r="A492" s="52">
        <v>486</v>
      </c>
      <c r="B492" s="8" t="s">
        <v>1806</v>
      </c>
      <c r="C492" s="62" t="s">
        <v>1807</v>
      </c>
      <c r="D492" s="62" t="s">
        <v>1808</v>
      </c>
      <c r="E492" s="86" t="s">
        <v>1809</v>
      </c>
      <c r="G492" s="27"/>
      <c r="H492" s="101" t="str">
        <f t="shared" si="7"/>
        <v>NECOMPLETAT</v>
      </c>
      <c r="I492" s="4" t="s">
        <v>3183</v>
      </c>
      <c r="J492" s="4" t="s">
        <v>3183</v>
      </c>
      <c r="K492" s="4" t="s">
        <v>3180</v>
      </c>
      <c r="L492" s="4"/>
    </row>
    <row r="493" spans="1:12" ht="45" x14ac:dyDescent="0.25">
      <c r="A493" s="52">
        <v>487</v>
      </c>
      <c r="B493" s="16" t="s">
        <v>1810</v>
      </c>
      <c r="C493" s="62" t="s">
        <v>1630</v>
      </c>
      <c r="D493" s="62" t="s">
        <v>1811</v>
      </c>
      <c r="E493" s="86" t="s">
        <v>1812</v>
      </c>
      <c r="G493" s="27"/>
      <c r="H493" s="101" t="str">
        <f t="shared" si="7"/>
        <v>NECOMPLETAT</v>
      </c>
      <c r="I493" s="4" t="s">
        <v>3181</v>
      </c>
      <c r="J493" s="4" t="s">
        <v>3183</v>
      </c>
      <c r="K493" s="4" t="s">
        <v>3183</v>
      </c>
      <c r="L493" s="4"/>
    </row>
    <row r="494" spans="1:12" ht="30" x14ac:dyDescent="0.25">
      <c r="A494" s="52">
        <v>488</v>
      </c>
      <c r="B494" s="8" t="s">
        <v>1813</v>
      </c>
      <c r="C494" s="62" t="s">
        <v>1814</v>
      </c>
      <c r="D494" s="62" t="s">
        <v>1815</v>
      </c>
      <c r="E494" s="86" t="s">
        <v>1684</v>
      </c>
      <c r="G494" s="27"/>
      <c r="H494" s="101" t="str">
        <f t="shared" si="7"/>
        <v>NECOMPLETAT</v>
      </c>
      <c r="I494" s="4" t="s">
        <v>3183</v>
      </c>
      <c r="J494" s="4" t="s">
        <v>3182</v>
      </c>
      <c r="K494" s="4" t="s">
        <v>3183</v>
      </c>
      <c r="L494" s="4"/>
    </row>
    <row r="495" spans="1:12" ht="45" x14ac:dyDescent="0.25">
      <c r="A495" s="52">
        <v>489</v>
      </c>
      <c r="B495" s="8" t="s">
        <v>1816</v>
      </c>
      <c r="C495" s="62" t="s">
        <v>1817</v>
      </c>
      <c r="D495" s="62" t="s">
        <v>1818</v>
      </c>
      <c r="E495" s="86" t="s">
        <v>1819</v>
      </c>
      <c r="G495" s="27"/>
      <c r="H495" s="101" t="str">
        <f t="shared" si="7"/>
        <v>NECOMPLETAT</v>
      </c>
      <c r="I495" s="4" t="s">
        <v>3183</v>
      </c>
      <c r="J495" s="4" t="s">
        <v>3183</v>
      </c>
      <c r="K495" s="4" t="s">
        <v>3180</v>
      </c>
      <c r="L495" s="4"/>
    </row>
    <row r="496" spans="1:12" ht="45" x14ac:dyDescent="0.25">
      <c r="A496" s="52">
        <v>490</v>
      </c>
      <c r="B496" s="8" t="s">
        <v>1820</v>
      </c>
      <c r="C496" s="65" t="s">
        <v>1821</v>
      </c>
      <c r="D496" s="65" t="s">
        <v>1822</v>
      </c>
      <c r="E496" s="89" t="s">
        <v>1823</v>
      </c>
      <c r="G496" s="27"/>
      <c r="H496" s="101" t="str">
        <f t="shared" si="7"/>
        <v>NECOMPLETAT</v>
      </c>
      <c r="I496" s="4" t="s">
        <v>3181</v>
      </c>
      <c r="J496" s="4" t="s">
        <v>3183</v>
      </c>
      <c r="K496" s="4" t="s">
        <v>3183</v>
      </c>
      <c r="L496" s="4"/>
    </row>
    <row r="497" spans="1:12" ht="45" x14ac:dyDescent="0.25">
      <c r="A497" s="52">
        <v>491</v>
      </c>
      <c r="B497" s="8" t="s">
        <v>1824</v>
      </c>
      <c r="C497" s="62" t="s">
        <v>1825</v>
      </c>
      <c r="D497" s="62" t="s">
        <v>1826</v>
      </c>
      <c r="E497" s="86" t="s">
        <v>1827</v>
      </c>
      <c r="G497" s="27"/>
      <c r="H497" s="101" t="str">
        <f t="shared" si="7"/>
        <v>NECOMPLETAT</v>
      </c>
      <c r="I497" s="4" t="s">
        <v>3183</v>
      </c>
      <c r="J497" s="4" t="s">
        <v>3183</v>
      </c>
      <c r="K497" s="4" t="s">
        <v>3180</v>
      </c>
      <c r="L497" s="4"/>
    </row>
    <row r="498" spans="1:12" ht="60" x14ac:dyDescent="0.25">
      <c r="A498" s="52">
        <v>492</v>
      </c>
      <c r="B498" s="8" t="s">
        <v>1828</v>
      </c>
      <c r="C498" s="62" t="s">
        <v>1568</v>
      </c>
      <c r="D498" s="62" t="s">
        <v>1569</v>
      </c>
      <c r="E498" s="86" t="s">
        <v>1570</v>
      </c>
      <c r="G498" s="27"/>
      <c r="H498" s="101" t="str">
        <f t="shared" si="7"/>
        <v>NECOMPLETAT</v>
      </c>
      <c r="I498" s="4" t="s">
        <v>3181</v>
      </c>
      <c r="J498" s="4" t="s">
        <v>3183</v>
      </c>
      <c r="K498" s="4" t="s">
        <v>3183</v>
      </c>
      <c r="L498" s="4"/>
    </row>
    <row r="499" spans="1:12" ht="75" x14ac:dyDescent="0.25">
      <c r="A499" s="52">
        <v>493</v>
      </c>
      <c r="B499" s="8" t="s">
        <v>1829</v>
      </c>
      <c r="C499" s="62" t="s">
        <v>1830</v>
      </c>
      <c r="D499" s="62" t="s">
        <v>1831</v>
      </c>
      <c r="E499" s="86" t="s">
        <v>1832</v>
      </c>
      <c r="G499" s="27"/>
      <c r="H499" s="101" t="str">
        <f t="shared" si="7"/>
        <v>NECOMPLETAT</v>
      </c>
      <c r="I499" s="4" t="s">
        <v>3181</v>
      </c>
      <c r="J499" s="4" t="s">
        <v>3183</v>
      </c>
      <c r="K499" s="4" t="s">
        <v>3183</v>
      </c>
      <c r="L499" s="4"/>
    </row>
    <row r="500" spans="1:12" ht="75" x14ac:dyDescent="0.25">
      <c r="A500" s="52">
        <v>494</v>
      </c>
      <c r="B500" s="8" t="s">
        <v>1833</v>
      </c>
      <c r="C500" s="62" t="s">
        <v>1834</v>
      </c>
      <c r="D500" s="62" t="s">
        <v>1835</v>
      </c>
      <c r="E500" s="86" t="s">
        <v>1832</v>
      </c>
      <c r="G500" s="27"/>
      <c r="H500" s="101" t="str">
        <f t="shared" si="7"/>
        <v>NECOMPLETAT</v>
      </c>
      <c r="I500" s="4" t="s">
        <v>3183</v>
      </c>
      <c r="J500" s="4" t="s">
        <v>3182</v>
      </c>
      <c r="K500" s="4" t="s">
        <v>3183</v>
      </c>
      <c r="L500" s="4"/>
    </row>
    <row r="501" spans="1:12" ht="60" x14ac:dyDescent="0.25">
      <c r="A501" s="52">
        <v>495</v>
      </c>
      <c r="B501" s="20" t="s">
        <v>1836</v>
      </c>
      <c r="C501" s="62" t="s">
        <v>1837</v>
      </c>
      <c r="D501" s="62" t="s">
        <v>1838</v>
      </c>
      <c r="E501" s="86" t="s">
        <v>1839</v>
      </c>
      <c r="G501" s="27"/>
      <c r="H501" s="101" t="str">
        <f t="shared" si="7"/>
        <v>NECOMPLETAT</v>
      </c>
      <c r="I501" s="4" t="s">
        <v>3181</v>
      </c>
      <c r="J501" s="4" t="s">
        <v>3183</v>
      </c>
      <c r="K501" s="4" t="s">
        <v>3183</v>
      </c>
      <c r="L501" s="4"/>
    </row>
    <row r="502" spans="1:12" ht="45" x14ac:dyDescent="0.25">
      <c r="A502" s="52">
        <v>496</v>
      </c>
      <c r="B502" s="8" t="s">
        <v>1840</v>
      </c>
      <c r="C502" s="62" t="s">
        <v>1841</v>
      </c>
      <c r="D502" s="62" t="s">
        <v>1842</v>
      </c>
      <c r="E502" s="86" t="s">
        <v>1843</v>
      </c>
      <c r="G502" s="27"/>
      <c r="H502" s="101" t="str">
        <f t="shared" si="7"/>
        <v>NECOMPLETAT</v>
      </c>
      <c r="I502" s="4" t="s">
        <v>3181</v>
      </c>
      <c r="J502" s="4" t="s">
        <v>3183</v>
      </c>
      <c r="K502" s="4" t="s">
        <v>3183</v>
      </c>
      <c r="L502" s="4"/>
    </row>
    <row r="503" spans="1:12" ht="45" x14ac:dyDescent="0.25">
      <c r="A503" s="52">
        <v>497</v>
      </c>
      <c r="B503" s="8" t="s">
        <v>1844</v>
      </c>
      <c r="C503" s="62" t="s">
        <v>1845</v>
      </c>
      <c r="D503" s="62" t="s">
        <v>1846</v>
      </c>
      <c r="E503" s="86" t="s">
        <v>1847</v>
      </c>
      <c r="G503" s="27"/>
      <c r="H503" s="101" t="str">
        <f t="shared" si="7"/>
        <v>NECOMPLETAT</v>
      </c>
      <c r="I503" s="4" t="s">
        <v>3183</v>
      </c>
      <c r="J503" s="4" t="s">
        <v>3182</v>
      </c>
      <c r="K503" s="4" t="s">
        <v>3183</v>
      </c>
      <c r="L503" s="4"/>
    </row>
    <row r="504" spans="1:12" ht="30" x14ac:dyDescent="0.25">
      <c r="A504" s="52">
        <v>498</v>
      </c>
      <c r="B504" s="8" t="s">
        <v>1848</v>
      </c>
      <c r="C504" s="62" t="s">
        <v>1849</v>
      </c>
      <c r="D504" s="62" t="s">
        <v>1850</v>
      </c>
      <c r="E504" s="86" t="s">
        <v>1851</v>
      </c>
      <c r="G504" s="27"/>
      <c r="H504" s="101" t="str">
        <f t="shared" si="7"/>
        <v>NECOMPLETAT</v>
      </c>
      <c r="I504" s="4" t="s">
        <v>3181</v>
      </c>
      <c r="J504" s="4" t="s">
        <v>3183</v>
      </c>
      <c r="K504" s="4" t="s">
        <v>3183</v>
      </c>
      <c r="L504" s="4"/>
    </row>
    <row r="505" spans="1:12" ht="75" x14ac:dyDescent="0.25">
      <c r="A505" s="52">
        <v>499</v>
      </c>
      <c r="B505" s="8" t="s">
        <v>1852</v>
      </c>
      <c r="C505" s="66" t="s">
        <v>1853</v>
      </c>
      <c r="D505" s="66" t="s">
        <v>1854</v>
      </c>
      <c r="E505" s="93" t="s">
        <v>1855</v>
      </c>
      <c r="G505" s="27"/>
      <c r="H505" s="101" t="str">
        <f t="shared" si="7"/>
        <v>NECOMPLETAT</v>
      </c>
      <c r="I505" s="4" t="s">
        <v>3183</v>
      </c>
      <c r="J505" s="4" t="s">
        <v>3182</v>
      </c>
      <c r="K505" s="4" t="s">
        <v>3183</v>
      </c>
      <c r="L505" s="4"/>
    </row>
    <row r="506" spans="1:12" ht="60" x14ac:dyDescent="0.25">
      <c r="A506" s="52">
        <v>500</v>
      </c>
      <c r="B506" s="8" t="s">
        <v>1856</v>
      </c>
      <c r="C506" s="65" t="s">
        <v>1857</v>
      </c>
      <c r="D506" s="65" t="s">
        <v>1858</v>
      </c>
      <c r="E506" s="89" t="s">
        <v>1621</v>
      </c>
      <c r="G506" s="27"/>
      <c r="H506" s="101" t="str">
        <f t="shared" si="7"/>
        <v>NECOMPLETAT</v>
      </c>
      <c r="I506" s="4" t="s">
        <v>3183</v>
      </c>
      <c r="J506" s="4" t="s">
        <v>3182</v>
      </c>
      <c r="K506" s="4" t="s">
        <v>3183</v>
      </c>
      <c r="L506" s="4"/>
    </row>
    <row r="507" spans="1:12" ht="60" x14ac:dyDescent="0.25">
      <c r="A507" s="52">
        <v>501</v>
      </c>
      <c r="B507" s="8" t="s">
        <v>1859</v>
      </c>
      <c r="C507" s="62" t="s">
        <v>1860</v>
      </c>
      <c r="D507" s="62" t="s">
        <v>1861</v>
      </c>
      <c r="E507" s="86" t="s">
        <v>1862</v>
      </c>
      <c r="G507" s="27"/>
      <c r="H507" s="101" t="str">
        <f t="shared" si="7"/>
        <v>NECOMPLETAT</v>
      </c>
      <c r="I507" s="4" t="s">
        <v>3183</v>
      </c>
      <c r="J507" s="4" t="s">
        <v>3182</v>
      </c>
      <c r="K507" s="4" t="s">
        <v>3183</v>
      </c>
      <c r="L507" s="4"/>
    </row>
    <row r="508" spans="1:12" ht="30" x14ac:dyDescent="0.25">
      <c r="A508" s="52">
        <v>502</v>
      </c>
      <c r="B508" s="8" t="s">
        <v>1863</v>
      </c>
      <c r="C508" s="65" t="s">
        <v>1056</v>
      </c>
      <c r="D508" s="65" t="s">
        <v>1864</v>
      </c>
      <c r="E508" s="89" t="s">
        <v>1865</v>
      </c>
      <c r="G508" s="27"/>
      <c r="H508" s="101" t="str">
        <f t="shared" si="7"/>
        <v>NECOMPLETAT</v>
      </c>
      <c r="I508" s="4" t="s">
        <v>3181</v>
      </c>
      <c r="J508" s="4" t="s">
        <v>3183</v>
      </c>
      <c r="K508" s="4" t="s">
        <v>3183</v>
      </c>
      <c r="L508" s="4"/>
    </row>
    <row r="509" spans="1:12" ht="45" x14ac:dyDescent="0.25">
      <c r="A509" s="52">
        <v>503</v>
      </c>
      <c r="B509" s="8" t="s">
        <v>1866</v>
      </c>
      <c r="C509" s="62" t="s">
        <v>1867</v>
      </c>
      <c r="D509" s="62" t="s">
        <v>1868</v>
      </c>
      <c r="E509" s="86" t="s">
        <v>1869</v>
      </c>
      <c r="G509" s="27"/>
      <c r="H509" s="101" t="str">
        <f t="shared" si="7"/>
        <v>NECOMPLETAT</v>
      </c>
      <c r="I509" s="4" t="s">
        <v>3183</v>
      </c>
      <c r="J509" s="4" t="s">
        <v>3182</v>
      </c>
      <c r="K509" s="4" t="s">
        <v>3183</v>
      </c>
      <c r="L509" s="4"/>
    </row>
    <row r="510" spans="1:12" ht="45" x14ac:dyDescent="0.25">
      <c r="A510" s="52">
        <v>504</v>
      </c>
      <c r="B510" s="8" t="s">
        <v>1870</v>
      </c>
      <c r="C510" s="62" t="s">
        <v>1871</v>
      </c>
      <c r="D510" s="62" t="s">
        <v>1872</v>
      </c>
      <c r="E510" s="86" t="s">
        <v>1873</v>
      </c>
      <c r="G510" s="27"/>
      <c r="H510" s="101" t="str">
        <f t="shared" si="7"/>
        <v>NECOMPLETAT</v>
      </c>
      <c r="I510" s="4" t="s">
        <v>3183</v>
      </c>
      <c r="J510" s="4" t="s">
        <v>3182</v>
      </c>
      <c r="K510" s="4" t="s">
        <v>3183</v>
      </c>
      <c r="L510" s="4"/>
    </row>
    <row r="511" spans="1:12" ht="45" x14ac:dyDescent="0.25">
      <c r="A511" s="52">
        <v>505</v>
      </c>
      <c r="B511" s="8" t="s">
        <v>1874</v>
      </c>
      <c r="C511" s="65" t="s">
        <v>1875</v>
      </c>
      <c r="D511" s="65" t="s">
        <v>1876</v>
      </c>
      <c r="E511" s="89" t="s">
        <v>1877</v>
      </c>
      <c r="G511" s="27"/>
      <c r="H511" s="101" t="str">
        <f t="shared" si="7"/>
        <v>NECOMPLETAT</v>
      </c>
      <c r="I511" s="4" t="s">
        <v>3183</v>
      </c>
      <c r="J511" s="4" t="s">
        <v>3182</v>
      </c>
      <c r="K511" s="4" t="s">
        <v>3183</v>
      </c>
      <c r="L511" s="4"/>
    </row>
    <row r="512" spans="1:12" ht="30" x14ac:dyDescent="0.25">
      <c r="A512" s="52">
        <v>506</v>
      </c>
      <c r="B512" s="16" t="s">
        <v>1878</v>
      </c>
      <c r="C512" s="65" t="s">
        <v>1879</v>
      </c>
      <c r="D512" s="65" t="s">
        <v>1880</v>
      </c>
      <c r="E512" s="89" t="s">
        <v>1881</v>
      </c>
      <c r="G512" s="27"/>
      <c r="H512" s="101" t="str">
        <f t="shared" si="7"/>
        <v>NECOMPLETAT</v>
      </c>
      <c r="I512" s="4" t="s">
        <v>3181</v>
      </c>
      <c r="J512" s="4" t="s">
        <v>3183</v>
      </c>
      <c r="K512" s="4" t="s">
        <v>3183</v>
      </c>
      <c r="L512" s="4"/>
    </row>
    <row r="513" spans="1:13" ht="30" x14ac:dyDescent="0.25">
      <c r="A513" s="52">
        <v>507</v>
      </c>
      <c r="B513" s="16" t="s">
        <v>1882</v>
      </c>
      <c r="C513" s="65" t="s">
        <v>1883</v>
      </c>
      <c r="D513" s="65" t="s">
        <v>1884</v>
      </c>
      <c r="E513" s="89" t="s">
        <v>1885</v>
      </c>
      <c r="G513" s="27"/>
      <c r="H513" s="101" t="str">
        <f t="shared" si="7"/>
        <v>NECOMPLETAT</v>
      </c>
      <c r="I513" s="4" t="s">
        <v>3183</v>
      </c>
      <c r="J513" s="4" t="s">
        <v>3182</v>
      </c>
      <c r="K513" s="4" t="s">
        <v>3183</v>
      </c>
      <c r="L513" s="4"/>
    </row>
    <row r="514" spans="1:13" ht="75" x14ac:dyDescent="0.25">
      <c r="A514" s="52">
        <v>508</v>
      </c>
      <c r="B514" s="8" t="s">
        <v>1886</v>
      </c>
      <c r="C514" s="62" t="s">
        <v>1887</v>
      </c>
      <c r="D514" s="62" t="s">
        <v>1888</v>
      </c>
      <c r="E514" s="86" t="s">
        <v>1889</v>
      </c>
      <c r="G514" s="27"/>
      <c r="H514" s="101" t="str">
        <f t="shared" si="7"/>
        <v>NECOMPLETAT</v>
      </c>
      <c r="I514" s="4" t="s">
        <v>3183</v>
      </c>
      <c r="J514" s="4" t="s">
        <v>3182</v>
      </c>
      <c r="K514" s="4" t="s">
        <v>3183</v>
      </c>
      <c r="L514" s="4"/>
    </row>
    <row r="515" spans="1:13" ht="69.599999999999994" customHeight="1" x14ac:dyDescent="0.25">
      <c r="A515" s="52">
        <v>509</v>
      </c>
      <c r="B515" s="8" t="s">
        <v>1890</v>
      </c>
      <c r="C515" s="62" t="s">
        <v>1891</v>
      </c>
      <c r="D515" s="62" t="s">
        <v>1892</v>
      </c>
      <c r="E515" s="86" t="s">
        <v>1893</v>
      </c>
      <c r="G515" s="27"/>
      <c r="H515" s="101" t="str">
        <f t="shared" si="7"/>
        <v>NECOMPLETAT</v>
      </c>
      <c r="I515" s="4" t="s">
        <v>3181</v>
      </c>
      <c r="J515" s="4" t="s">
        <v>3183</v>
      </c>
      <c r="K515" s="4" t="s">
        <v>3183</v>
      </c>
      <c r="L515" s="4"/>
    </row>
    <row r="516" spans="1:13" ht="76.150000000000006" customHeight="1" x14ac:dyDescent="0.25">
      <c r="A516" s="52">
        <v>510</v>
      </c>
      <c r="B516" s="8" t="s">
        <v>1894</v>
      </c>
      <c r="C516" s="62" t="s">
        <v>1891</v>
      </c>
      <c r="D516" s="62" t="s">
        <v>1892</v>
      </c>
      <c r="E516" s="86" t="s">
        <v>1893</v>
      </c>
      <c r="G516" s="27"/>
      <c r="H516" s="101" t="str">
        <f t="shared" si="7"/>
        <v>NECOMPLETAT</v>
      </c>
      <c r="I516" s="4" t="s">
        <v>3183</v>
      </c>
      <c r="J516" s="4" t="s">
        <v>3182</v>
      </c>
      <c r="K516" s="4" t="s">
        <v>3183</v>
      </c>
      <c r="L516" s="4"/>
    </row>
    <row r="517" spans="1:13" ht="30" x14ac:dyDescent="0.25">
      <c r="A517" s="52">
        <v>511</v>
      </c>
      <c r="B517" s="8" t="s">
        <v>1895</v>
      </c>
      <c r="C517" s="62" t="s">
        <v>1350</v>
      </c>
      <c r="D517" s="62" t="s">
        <v>1896</v>
      </c>
      <c r="E517" s="86" t="s">
        <v>1897</v>
      </c>
      <c r="G517" s="27"/>
      <c r="H517" s="101" t="str">
        <f t="shared" si="7"/>
        <v>NECOMPLETAT</v>
      </c>
      <c r="I517" s="4" t="s">
        <v>3183</v>
      </c>
      <c r="J517" s="4" t="s">
        <v>3182</v>
      </c>
      <c r="K517" s="4" t="s">
        <v>3183</v>
      </c>
      <c r="L517" s="4"/>
    </row>
    <row r="518" spans="1:13" ht="45" x14ac:dyDescent="0.25">
      <c r="A518" s="52">
        <v>512</v>
      </c>
      <c r="B518" s="8" t="s">
        <v>1898</v>
      </c>
      <c r="C518" s="62" t="s">
        <v>1899</v>
      </c>
      <c r="D518" s="62" t="s">
        <v>1900</v>
      </c>
      <c r="E518" s="86" t="s">
        <v>1901</v>
      </c>
      <c r="G518" s="27"/>
      <c r="H518" s="101" t="str">
        <f t="shared" si="7"/>
        <v>NECOMPLETAT</v>
      </c>
      <c r="I518" s="4" t="s">
        <v>3183</v>
      </c>
      <c r="J518" s="4" t="s">
        <v>3183</v>
      </c>
      <c r="K518" s="4" t="s">
        <v>3180</v>
      </c>
      <c r="L518" s="4"/>
    </row>
    <row r="519" spans="1:13" ht="45" x14ac:dyDescent="0.25">
      <c r="A519" s="52">
        <v>513</v>
      </c>
      <c r="B519" s="8" t="s">
        <v>1902</v>
      </c>
      <c r="C519" s="62" t="s">
        <v>1903</v>
      </c>
      <c r="D519" s="62" t="s">
        <v>1904</v>
      </c>
      <c r="E519" s="86" t="s">
        <v>1905</v>
      </c>
      <c r="G519" s="27"/>
      <c r="H519" s="101" t="str">
        <f t="shared" si="7"/>
        <v>NECOMPLETAT</v>
      </c>
      <c r="I519" s="4" t="s">
        <v>3183</v>
      </c>
      <c r="J519" s="4" t="s">
        <v>3182</v>
      </c>
      <c r="K519" s="4" t="s">
        <v>3183</v>
      </c>
      <c r="L519" s="4"/>
    </row>
    <row r="520" spans="1:13" ht="45" x14ac:dyDescent="0.25">
      <c r="A520" s="52">
        <v>514</v>
      </c>
      <c r="B520" s="8" t="s">
        <v>1906</v>
      </c>
      <c r="C520" s="62" t="s">
        <v>1907</v>
      </c>
      <c r="D520" s="62" t="s">
        <v>1908</v>
      </c>
      <c r="E520" s="86" t="s">
        <v>1909</v>
      </c>
      <c r="G520" s="27"/>
      <c r="H520" s="101" t="str">
        <f t="shared" ref="H520:H583" si="8">IF(G520=0,"NECOMPLETAT",IF(OR(G520=I520,G520=J520,G520=K520),"CORECT","GRESIT"))</f>
        <v>NECOMPLETAT</v>
      </c>
      <c r="I520" s="4" t="s">
        <v>3183</v>
      </c>
      <c r="J520" s="4" t="s">
        <v>3182</v>
      </c>
      <c r="K520" s="4" t="s">
        <v>3183</v>
      </c>
      <c r="L520" s="4"/>
    </row>
    <row r="521" spans="1:13" ht="45" x14ac:dyDescent="0.25">
      <c r="A521" s="52">
        <v>515</v>
      </c>
      <c r="B521" s="8" t="s">
        <v>1910</v>
      </c>
      <c r="C521" s="62" t="s">
        <v>1911</v>
      </c>
      <c r="D521" s="62" t="s">
        <v>1912</v>
      </c>
      <c r="E521" s="86" t="s">
        <v>1913</v>
      </c>
      <c r="G521" s="27"/>
      <c r="H521" s="101" t="str">
        <f t="shared" si="8"/>
        <v>NECOMPLETAT</v>
      </c>
      <c r="I521" s="4" t="s">
        <v>3183</v>
      </c>
      <c r="J521" s="4" t="s">
        <v>3182</v>
      </c>
      <c r="K521" s="4" t="s">
        <v>3183</v>
      </c>
      <c r="L521" s="4"/>
      <c r="M521" s="4" t="s">
        <v>3193</v>
      </c>
    </row>
    <row r="522" spans="1:13" ht="30" x14ac:dyDescent="0.25">
      <c r="A522" s="52">
        <v>516</v>
      </c>
      <c r="B522" s="8" t="s">
        <v>1914</v>
      </c>
      <c r="C522" s="62" t="s">
        <v>1915</v>
      </c>
      <c r="D522" s="62" t="s">
        <v>1916</v>
      </c>
      <c r="E522" s="86" t="s">
        <v>1917</v>
      </c>
      <c r="G522" s="27"/>
      <c r="H522" s="101" t="str">
        <f t="shared" si="8"/>
        <v>NECOMPLETAT</v>
      </c>
      <c r="I522" s="4" t="s">
        <v>3183</v>
      </c>
      <c r="J522" s="4" t="s">
        <v>3182</v>
      </c>
      <c r="K522" s="4" t="s">
        <v>3183</v>
      </c>
      <c r="L522" s="4"/>
    </row>
    <row r="523" spans="1:13" ht="75" x14ac:dyDescent="0.25">
      <c r="A523" s="52">
        <v>517</v>
      </c>
      <c r="B523" s="8" t="s">
        <v>1918</v>
      </c>
      <c r="C523" s="62" t="s">
        <v>1919</v>
      </c>
      <c r="D523" s="62" t="s">
        <v>1920</v>
      </c>
      <c r="E523" s="86" t="s">
        <v>1921</v>
      </c>
      <c r="G523" s="27"/>
      <c r="H523" s="101" t="str">
        <f t="shared" si="8"/>
        <v>NECOMPLETAT</v>
      </c>
      <c r="I523" s="4" t="s">
        <v>3183</v>
      </c>
      <c r="J523" s="4" t="s">
        <v>3183</v>
      </c>
      <c r="K523" s="4" t="s">
        <v>3180</v>
      </c>
      <c r="L523" s="4"/>
    </row>
    <row r="524" spans="1:13" ht="60" x14ac:dyDescent="0.25">
      <c r="A524" s="52">
        <v>518</v>
      </c>
      <c r="B524" s="8" t="s">
        <v>1922</v>
      </c>
      <c r="C524" s="62" t="s">
        <v>1923</v>
      </c>
      <c r="D524" s="62" t="s">
        <v>1924</v>
      </c>
      <c r="E524" s="86" t="s">
        <v>1925</v>
      </c>
      <c r="G524" s="27"/>
      <c r="H524" s="101" t="str">
        <f t="shared" si="8"/>
        <v>NECOMPLETAT</v>
      </c>
      <c r="I524" s="4" t="s">
        <v>3183</v>
      </c>
      <c r="J524" s="4" t="s">
        <v>3182</v>
      </c>
      <c r="K524" s="4" t="s">
        <v>3183</v>
      </c>
      <c r="L524" s="4"/>
    </row>
    <row r="525" spans="1:13" ht="60" x14ac:dyDescent="0.25">
      <c r="A525" s="52">
        <v>519</v>
      </c>
      <c r="B525" s="8" t="s">
        <v>1926</v>
      </c>
      <c r="C525" s="65" t="s">
        <v>1927</v>
      </c>
      <c r="D525" s="65" t="s">
        <v>1928</v>
      </c>
      <c r="E525" s="89" t="s">
        <v>1929</v>
      </c>
      <c r="G525" s="27"/>
      <c r="H525" s="101" t="str">
        <f t="shared" si="8"/>
        <v>NECOMPLETAT</v>
      </c>
      <c r="I525" s="4" t="s">
        <v>3183</v>
      </c>
      <c r="J525" s="4" t="s">
        <v>3182</v>
      </c>
      <c r="K525" s="4" t="s">
        <v>3183</v>
      </c>
      <c r="L525" s="4"/>
    </row>
    <row r="526" spans="1:13" ht="60" x14ac:dyDescent="0.25">
      <c r="A526" s="52">
        <v>520</v>
      </c>
      <c r="B526" s="8" t="s">
        <v>1930</v>
      </c>
      <c r="C526" s="62" t="s">
        <v>1931</v>
      </c>
      <c r="D526" s="62" t="s">
        <v>1932</v>
      </c>
      <c r="E526" s="86" t="s">
        <v>1933</v>
      </c>
      <c r="G526" s="27"/>
      <c r="H526" s="101" t="str">
        <f t="shared" si="8"/>
        <v>NECOMPLETAT</v>
      </c>
      <c r="I526" s="4" t="s">
        <v>3181</v>
      </c>
      <c r="J526" s="4" t="s">
        <v>3183</v>
      </c>
      <c r="K526" s="4" t="s">
        <v>3183</v>
      </c>
      <c r="L526" s="4"/>
    </row>
    <row r="527" spans="1:13" ht="75" x14ac:dyDescent="0.25">
      <c r="A527" s="52">
        <v>521</v>
      </c>
      <c r="B527" s="8" t="s">
        <v>1934</v>
      </c>
      <c r="C527" s="62" t="s">
        <v>1935</v>
      </c>
      <c r="D527" s="62" t="s">
        <v>1936</v>
      </c>
      <c r="E527" s="86" t="s">
        <v>1937</v>
      </c>
      <c r="G527" s="27"/>
      <c r="H527" s="101" t="str">
        <f t="shared" si="8"/>
        <v>NECOMPLETAT</v>
      </c>
      <c r="I527" s="4" t="s">
        <v>3183</v>
      </c>
      <c r="J527" s="4" t="s">
        <v>3182</v>
      </c>
      <c r="K527" s="4" t="s">
        <v>3183</v>
      </c>
      <c r="L527" s="4"/>
    </row>
    <row r="528" spans="1:13" ht="45" x14ac:dyDescent="0.25">
      <c r="A528" s="52">
        <v>522</v>
      </c>
      <c r="B528" s="8" t="s">
        <v>1938</v>
      </c>
      <c r="C528" s="62" t="s">
        <v>1939</v>
      </c>
      <c r="D528" s="62" t="s">
        <v>1940</v>
      </c>
      <c r="E528" s="86" t="s">
        <v>1941</v>
      </c>
      <c r="G528" s="27"/>
      <c r="H528" s="101" t="str">
        <f t="shared" si="8"/>
        <v>NECOMPLETAT</v>
      </c>
      <c r="I528" s="4" t="s">
        <v>3181</v>
      </c>
      <c r="J528" s="4" t="s">
        <v>3183</v>
      </c>
      <c r="K528" s="4" t="s">
        <v>3183</v>
      </c>
      <c r="L528" s="4"/>
    </row>
    <row r="529" spans="1:12" ht="75" x14ac:dyDescent="0.25">
      <c r="A529" s="52">
        <v>523</v>
      </c>
      <c r="B529" s="8" t="s">
        <v>1942</v>
      </c>
      <c r="C529" s="62" t="s">
        <v>1271</v>
      </c>
      <c r="D529" s="62" t="s">
        <v>1272</v>
      </c>
      <c r="E529" s="86" t="s">
        <v>1943</v>
      </c>
      <c r="G529" s="27"/>
      <c r="H529" s="101" t="str">
        <f t="shared" si="8"/>
        <v>NECOMPLETAT</v>
      </c>
      <c r="I529" s="4" t="s">
        <v>3183</v>
      </c>
      <c r="J529" s="4" t="s">
        <v>3182</v>
      </c>
      <c r="K529" s="4" t="s">
        <v>3183</v>
      </c>
      <c r="L529" s="4"/>
    </row>
    <row r="530" spans="1:12" ht="90" x14ac:dyDescent="0.25">
      <c r="A530" s="52">
        <v>524</v>
      </c>
      <c r="B530" s="15" t="s">
        <v>1944</v>
      </c>
      <c r="C530" s="62" t="s">
        <v>1945</v>
      </c>
      <c r="D530" s="62" t="s">
        <v>1946</v>
      </c>
      <c r="E530" s="86" t="s">
        <v>1947</v>
      </c>
      <c r="G530" s="27"/>
      <c r="H530" s="101" t="str">
        <f t="shared" si="8"/>
        <v>NECOMPLETAT</v>
      </c>
      <c r="I530" s="4" t="s">
        <v>3183</v>
      </c>
      <c r="J530" s="4" t="s">
        <v>3182</v>
      </c>
      <c r="K530" s="4" t="s">
        <v>3183</v>
      </c>
      <c r="L530" s="4"/>
    </row>
    <row r="531" spans="1:12" ht="90" x14ac:dyDescent="0.25">
      <c r="A531" s="52">
        <v>525</v>
      </c>
      <c r="B531" s="8" t="s">
        <v>1944</v>
      </c>
      <c r="C531" s="62" t="s">
        <v>1948</v>
      </c>
      <c r="D531" s="62" t="s">
        <v>1949</v>
      </c>
      <c r="E531" s="86" t="s">
        <v>1947</v>
      </c>
      <c r="G531" s="27"/>
      <c r="H531" s="101" t="str">
        <f t="shared" si="8"/>
        <v>NECOMPLETAT</v>
      </c>
      <c r="I531" s="4" t="s">
        <v>3181</v>
      </c>
      <c r="J531" s="4" t="s">
        <v>3183</v>
      </c>
      <c r="K531" s="4" t="s">
        <v>3183</v>
      </c>
      <c r="L531" s="4"/>
    </row>
    <row r="532" spans="1:12" ht="45" x14ac:dyDescent="0.25">
      <c r="A532" s="52">
        <v>526</v>
      </c>
      <c r="B532" s="8" t="s">
        <v>1950</v>
      </c>
      <c r="C532" s="62" t="s">
        <v>1951</v>
      </c>
      <c r="D532" s="62" t="s">
        <v>1952</v>
      </c>
      <c r="E532" s="86" t="s">
        <v>1953</v>
      </c>
      <c r="G532" s="27"/>
      <c r="H532" s="101" t="str">
        <f t="shared" si="8"/>
        <v>NECOMPLETAT</v>
      </c>
      <c r="I532" s="4" t="s">
        <v>3183</v>
      </c>
      <c r="J532" s="4" t="s">
        <v>3182</v>
      </c>
      <c r="K532" s="4" t="s">
        <v>3183</v>
      </c>
      <c r="L532" s="4"/>
    </row>
    <row r="533" spans="1:12" ht="109.15" customHeight="1" x14ac:dyDescent="0.25">
      <c r="A533" s="52">
        <v>527</v>
      </c>
      <c r="B533" s="8" t="s">
        <v>1954</v>
      </c>
      <c r="C533" s="62" t="s">
        <v>1955</v>
      </c>
      <c r="D533" s="62" t="s">
        <v>1956</v>
      </c>
      <c r="E533" s="86" t="s">
        <v>1957</v>
      </c>
      <c r="G533" s="27"/>
      <c r="H533" s="101" t="str">
        <f t="shared" si="8"/>
        <v>NECOMPLETAT</v>
      </c>
      <c r="I533" s="4" t="s">
        <v>3183</v>
      </c>
      <c r="J533" s="4" t="s">
        <v>3182</v>
      </c>
      <c r="K533" s="4" t="s">
        <v>3183</v>
      </c>
      <c r="L533" s="4"/>
    </row>
    <row r="534" spans="1:12" ht="60" x14ac:dyDescent="0.25">
      <c r="A534" s="52">
        <v>528</v>
      </c>
      <c r="B534" s="8" t="s">
        <v>1958</v>
      </c>
      <c r="C534" s="62" t="s">
        <v>1959</v>
      </c>
      <c r="D534" s="62" t="s">
        <v>1224</v>
      </c>
      <c r="E534" s="86" t="s">
        <v>1960</v>
      </c>
      <c r="G534" s="27"/>
      <c r="H534" s="101" t="str">
        <f t="shared" si="8"/>
        <v>NECOMPLETAT</v>
      </c>
      <c r="I534" s="4" t="s">
        <v>3183</v>
      </c>
      <c r="J534" s="4" t="s">
        <v>3182</v>
      </c>
      <c r="K534" s="4" t="s">
        <v>3183</v>
      </c>
      <c r="L534" s="4"/>
    </row>
    <row r="535" spans="1:12" ht="45" x14ac:dyDescent="0.25">
      <c r="A535" s="52">
        <v>529</v>
      </c>
      <c r="B535" s="8" t="s">
        <v>1961</v>
      </c>
      <c r="C535" s="62" t="s">
        <v>1962</v>
      </c>
      <c r="D535" s="62" t="s">
        <v>1963</v>
      </c>
      <c r="E535" s="86" t="s">
        <v>1964</v>
      </c>
      <c r="G535" s="27"/>
      <c r="H535" s="101" t="str">
        <f t="shared" si="8"/>
        <v>NECOMPLETAT</v>
      </c>
      <c r="I535" s="4" t="s">
        <v>3183</v>
      </c>
      <c r="J535" s="4" t="s">
        <v>3183</v>
      </c>
      <c r="K535" s="4" t="s">
        <v>3180</v>
      </c>
      <c r="L535" s="4"/>
    </row>
    <row r="536" spans="1:12" ht="45" x14ac:dyDescent="0.25">
      <c r="A536" s="52">
        <v>530</v>
      </c>
      <c r="B536" s="8" t="s">
        <v>1965</v>
      </c>
      <c r="C536" s="62" t="s">
        <v>1966</v>
      </c>
      <c r="D536" s="62" t="s">
        <v>1967</v>
      </c>
      <c r="E536" s="86" t="s">
        <v>1968</v>
      </c>
      <c r="G536" s="27"/>
      <c r="H536" s="101" t="str">
        <f t="shared" si="8"/>
        <v>NECOMPLETAT</v>
      </c>
      <c r="I536" s="4" t="s">
        <v>3183</v>
      </c>
      <c r="J536" s="4" t="s">
        <v>3183</v>
      </c>
      <c r="K536" s="4" t="s">
        <v>3180</v>
      </c>
      <c r="L536" s="4"/>
    </row>
    <row r="537" spans="1:12" ht="90" x14ac:dyDescent="0.25">
      <c r="A537" s="52">
        <v>531</v>
      </c>
      <c r="B537" s="8" t="s">
        <v>1969</v>
      </c>
      <c r="C537" s="62" t="s">
        <v>1970</v>
      </c>
      <c r="D537" s="62" t="s">
        <v>1971</v>
      </c>
      <c r="E537" s="86" t="s">
        <v>1972</v>
      </c>
      <c r="G537" s="27"/>
      <c r="H537" s="101" t="str">
        <f t="shared" si="8"/>
        <v>NECOMPLETAT</v>
      </c>
      <c r="I537" s="4" t="s">
        <v>3183</v>
      </c>
      <c r="J537" s="4" t="s">
        <v>3183</v>
      </c>
      <c r="K537" s="4" t="s">
        <v>3180</v>
      </c>
      <c r="L537" s="4"/>
    </row>
    <row r="538" spans="1:12" ht="45" x14ac:dyDescent="0.25">
      <c r="A538" s="52">
        <v>532</v>
      </c>
      <c r="B538" s="8" t="s">
        <v>1973</v>
      </c>
      <c r="C538" s="62" t="s">
        <v>1974</v>
      </c>
      <c r="D538" s="62" t="s">
        <v>1975</v>
      </c>
      <c r="E538" s="86" t="s">
        <v>1976</v>
      </c>
      <c r="G538" s="27"/>
      <c r="H538" s="101" t="str">
        <f t="shared" si="8"/>
        <v>NECOMPLETAT</v>
      </c>
      <c r="I538" s="4" t="s">
        <v>3183</v>
      </c>
      <c r="J538" s="4" t="s">
        <v>3182</v>
      </c>
      <c r="K538" s="4" t="s">
        <v>3183</v>
      </c>
      <c r="L538" s="4"/>
    </row>
    <row r="539" spans="1:12" ht="45.6" customHeight="1" x14ac:dyDescent="0.25">
      <c r="A539" s="52">
        <v>533</v>
      </c>
      <c r="B539" s="15" t="s">
        <v>1977</v>
      </c>
      <c r="C539" s="62" t="s">
        <v>1978</v>
      </c>
      <c r="D539" s="62" t="s">
        <v>1979</v>
      </c>
      <c r="E539" s="86" t="s">
        <v>1980</v>
      </c>
      <c r="G539" s="27"/>
      <c r="H539" s="101" t="str">
        <f t="shared" si="8"/>
        <v>NECOMPLETAT</v>
      </c>
      <c r="I539" s="4" t="s">
        <v>3183</v>
      </c>
      <c r="J539" s="4" t="s">
        <v>3182</v>
      </c>
      <c r="K539" s="4" t="s">
        <v>3183</v>
      </c>
      <c r="L539" s="4"/>
    </row>
    <row r="540" spans="1:12" ht="43.15" customHeight="1" x14ac:dyDescent="0.25">
      <c r="A540" s="52">
        <v>534</v>
      </c>
      <c r="B540" s="8" t="s">
        <v>1981</v>
      </c>
      <c r="C540" s="62" t="s">
        <v>1978</v>
      </c>
      <c r="D540" s="62" t="s">
        <v>1982</v>
      </c>
      <c r="E540" s="86" t="s">
        <v>1983</v>
      </c>
      <c r="G540" s="27"/>
      <c r="H540" s="101" t="str">
        <f t="shared" si="8"/>
        <v>NECOMPLETAT</v>
      </c>
      <c r="I540" s="4" t="s">
        <v>3183</v>
      </c>
      <c r="J540" s="4" t="s">
        <v>3183</v>
      </c>
      <c r="K540" s="4" t="s">
        <v>3180</v>
      </c>
      <c r="L540" s="4"/>
    </row>
    <row r="541" spans="1:12" ht="45" x14ac:dyDescent="0.25">
      <c r="A541" s="52">
        <v>535</v>
      </c>
      <c r="B541" s="8" t="s">
        <v>1984</v>
      </c>
      <c r="C541" s="62" t="s">
        <v>1985</v>
      </c>
      <c r="D541" s="62" t="s">
        <v>1986</v>
      </c>
      <c r="E541" s="86" t="s">
        <v>1987</v>
      </c>
      <c r="G541" s="27"/>
      <c r="H541" s="101" t="str">
        <f t="shared" si="8"/>
        <v>NECOMPLETAT</v>
      </c>
      <c r="I541" s="4" t="s">
        <v>3181</v>
      </c>
      <c r="J541" s="4" t="s">
        <v>3183</v>
      </c>
      <c r="K541" s="4" t="s">
        <v>3183</v>
      </c>
      <c r="L541" s="4"/>
    </row>
    <row r="542" spans="1:12" ht="45" x14ac:dyDescent="0.25">
      <c r="A542" s="52">
        <v>536</v>
      </c>
      <c r="B542" s="8" t="s">
        <v>1988</v>
      </c>
      <c r="C542" s="62" t="s">
        <v>1989</v>
      </c>
      <c r="D542" s="62" t="s">
        <v>1990</v>
      </c>
      <c r="E542" s="86" t="s">
        <v>1991</v>
      </c>
      <c r="G542" s="27"/>
      <c r="H542" s="101" t="str">
        <f t="shared" si="8"/>
        <v>NECOMPLETAT</v>
      </c>
      <c r="I542" s="4" t="s">
        <v>3181</v>
      </c>
      <c r="J542" s="4" t="s">
        <v>3183</v>
      </c>
      <c r="K542" s="4" t="s">
        <v>3183</v>
      </c>
      <c r="L542" s="4"/>
    </row>
    <row r="543" spans="1:12" ht="60" x14ac:dyDescent="0.25">
      <c r="A543" s="52">
        <v>537</v>
      </c>
      <c r="B543" s="8" t="s">
        <v>1992</v>
      </c>
      <c r="C543" s="64" t="s">
        <v>1993</v>
      </c>
      <c r="D543" s="64" t="s">
        <v>1994</v>
      </c>
      <c r="E543" s="88" t="s">
        <v>1995</v>
      </c>
      <c r="G543" s="27"/>
      <c r="H543" s="101" t="str">
        <f t="shared" si="8"/>
        <v>NECOMPLETAT</v>
      </c>
      <c r="I543" s="4" t="s">
        <v>3183</v>
      </c>
      <c r="J543" s="4" t="s">
        <v>3182</v>
      </c>
      <c r="K543" s="4" t="s">
        <v>3183</v>
      </c>
      <c r="L543" s="4"/>
    </row>
    <row r="544" spans="1:12" ht="45" x14ac:dyDescent="0.25">
      <c r="A544" s="52">
        <v>538</v>
      </c>
      <c r="B544" s="8" t="s">
        <v>1996</v>
      </c>
      <c r="C544" s="62" t="s">
        <v>1989</v>
      </c>
      <c r="D544" s="62" t="s">
        <v>1990</v>
      </c>
      <c r="E544" s="86" t="s">
        <v>1991</v>
      </c>
      <c r="G544" s="27"/>
      <c r="H544" s="101" t="str">
        <f t="shared" si="8"/>
        <v>NECOMPLETAT</v>
      </c>
      <c r="I544" s="4" t="s">
        <v>3183</v>
      </c>
      <c r="J544" s="4" t="s">
        <v>3182</v>
      </c>
      <c r="K544" s="4" t="s">
        <v>3183</v>
      </c>
      <c r="L544" s="4"/>
    </row>
    <row r="545" spans="1:12" ht="60" x14ac:dyDescent="0.25">
      <c r="A545" s="52">
        <v>539</v>
      </c>
      <c r="B545" s="8" t="s">
        <v>1997</v>
      </c>
      <c r="C545" s="64" t="s">
        <v>1998</v>
      </c>
      <c r="D545" s="64" t="s">
        <v>1999</v>
      </c>
      <c r="E545" s="88" t="s">
        <v>2000</v>
      </c>
      <c r="G545" s="27"/>
      <c r="H545" s="101" t="str">
        <f t="shared" si="8"/>
        <v>NECOMPLETAT</v>
      </c>
      <c r="I545" s="4" t="s">
        <v>3183</v>
      </c>
      <c r="J545" s="4" t="s">
        <v>3182</v>
      </c>
      <c r="K545" s="4" t="s">
        <v>3183</v>
      </c>
      <c r="L545" s="4"/>
    </row>
    <row r="546" spans="1:12" ht="45" x14ac:dyDescent="0.25">
      <c r="A546" s="52">
        <v>540</v>
      </c>
      <c r="B546" s="8" t="s">
        <v>2001</v>
      </c>
      <c r="C546" s="62" t="s">
        <v>1989</v>
      </c>
      <c r="D546" s="62" t="s">
        <v>1990</v>
      </c>
      <c r="E546" s="86" t="s">
        <v>1991</v>
      </c>
      <c r="G546" s="27"/>
      <c r="H546" s="101" t="str">
        <f t="shared" si="8"/>
        <v>NECOMPLETAT</v>
      </c>
      <c r="I546" s="4" t="s">
        <v>3183</v>
      </c>
      <c r="J546" s="4" t="s">
        <v>3183</v>
      </c>
      <c r="K546" s="4" t="s">
        <v>3180</v>
      </c>
      <c r="L546" s="4"/>
    </row>
    <row r="547" spans="1:12" ht="60" x14ac:dyDescent="0.25">
      <c r="A547" s="52">
        <v>541</v>
      </c>
      <c r="B547" s="8" t="s">
        <v>2002</v>
      </c>
      <c r="C547" s="64" t="s">
        <v>1998</v>
      </c>
      <c r="D547" s="64" t="s">
        <v>1999</v>
      </c>
      <c r="E547" s="88" t="s">
        <v>2000</v>
      </c>
      <c r="G547" s="27"/>
      <c r="H547" s="101" t="str">
        <f t="shared" si="8"/>
        <v>NECOMPLETAT</v>
      </c>
      <c r="I547" s="4" t="s">
        <v>3183</v>
      </c>
      <c r="J547" s="4" t="s">
        <v>3183</v>
      </c>
      <c r="K547" s="4" t="s">
        <v>3180</v>
      </c>
      <c r="L547" s="4"/>
    </row>
    <row r="548" spans="1:12" ht="60" x14ac:dyDescent="0.25">
      <c r="A548" s="52">
        <v>542</v>
      </c>
      <c r="B548" s="15" t="s">
        <v>2003</v>
      </c>
      <c r="C548" s="62" t="s">
        <v>2004</v>
      </c>
      <c r="D548" s="62" t="s">
        <v>2005</v>
      </c>
      <c r="E548" s="86" t="s">
        <v>2006</v>
      </c>
      <c r="G548" s="27"/>
      <c r="H548" s="101" t="str">
        <f t="shared" si="8"/>
        <v>NECOMPLETAT</v>
      </c>
      <c r="I548" s="4" t="s">
        <v>3183</v>
      </c>
      <c r="J548" s="4" t="s">
        <v>3183</v>
      </c>
      <c r="K548" s="4" t="s">
        <v>3180</v>
      </c>
      <c r="L548" s="4"/>
    </row>
    <row r="549" spans="1:12" ht="45" x14ac:dyDescent="0.25">
      <c r="A549" s="52">
        <v>543</v>
      </c>
      <c r="B549" s="8" t="s">
        <v>2003</v>
      </c>
      <c r="C549" s="62" t="s">
        <v>2007</v>
      </c>
      <c r="D549" s="62" t="s">
        <v>2008</v>
      </c>
      <c r="E549" s="86" t="s">
        <v>2009</v>
      </c>
      <c r="G549" s="27"/>
      <c r="H549" s="101" t="str">
        <f t="shared" si="8"/>
        <v>NECOMPLETAT</v>
      </c>
      <c r="I549" s="4" t="s">
        <v>3181</v>
      </c>
      <c r="J549" s="4" t="s">
        <v>3183</v>
      </c>
      <c r="K549" s="4" t="s">
        <v>3183</v>
      </c>
      <c r="L549" s="4"/>
    </row>
    <row r="550" spans="1:12" ht="45" x14ac:dyDescent="0.25">
      <c r="A550" s="52">
        <v>544</v>
      </c>
      <c r="B550" s="15" t="s">
        <v>2010</v>
      </c>
      <c r="C550" s="62" t="s">
        <v>2011</v>
      </c>
      <c r="D550" s="62" t="s">
        <v>2012</v>
      </c>
      <c r="E550" s="86" t="s">
        <v>2013</v>
      </c>
      <c r="G550" s="27"/>
      <c r="H550" s="101" t="str">
        <f t="shared" si="8"/>
        <v>NECOMPLETAT</v>
      </c>
      <c r="I550" s="4" t="s">
        <v>3183</v>
      </c>
      <c r="J550" s="4" t="s">
        <v>3182</v>
      </c>
      <c r="K550" s="4" t="s">
        <v>3183</v>
      </c>
      <c r="L550" s="4"/>
    </row>
    <row r="551" spans="1:12" ht="45" x14ac:dyDescent="0.25">
      <c r="A551" s="52">
        <v>545</v>
      </c>
      <c r="B551" s="8" t="s">
        <v>2010</v>
      </c>
      <c r="C551" s="62" t="s">
        <v>2014</v>
      </c>
      <c r="D551" s="62" t="s">
        <v>2015</v>
      </c>
      <c r="E551" s="86" t="s">
        <v>2013</v>
      </c>
      <c r="G551" s="27"/>
      <c r="H551" s="101" t="str">
        <f t="shared" si="8"/>
        <v>NECOMPLETAT</v>
      </c>
      <c r="I551" s="4" t="s">
        <v>3181</v>
      </c>
      <c r="J551" s="4" t="s">
        <v>3183</v>
      </c>
      <c r="K551" s="4" t="s">
        <v>3183</v>
      </c>
      <c r="L551" s="4"/>
    </row>
    <row r="552" spans="1:12" x14ac:dyDescent="0.25">
      <c r="A552" s="52">
        <v>546</v>
      </c>
      <c r="B552" s="8" t="s">
        <v>2016</v>
      </c>
      <c r="C552" s="62" t="s">
        <v>2017</v>
      </c>
      <c r="D552" s="62" t="s">
        <v>2018</v>
      </c>
      <c r="E552" s="86" t="s">
        <v>2019</v>
      </c>
      <c r="G552" s="27"/>
      <c r="H552" s="101" t="str">
        <f t="shared" si="8"/>
        <v>NECOMPLETAT</v>
      </c>
      <c r="I552" s="4" t="s">
        <v>3183</v>
      </c>
      <c r="J552" s="4" t="s">
        <v>3183</v>
      </c>
      <c r="K552" s="4" t="s">
        <v>3180</v>
      </c>
      <c r="L552" s="4"/>
    </row>
    <row r="553" spans="1:12" ht="45" x14ac:dyDescent="0.25">
      <c r="A553" s="52">
        <v>547</v>
      </c>
      <c r="B553" s="8" t="s">
        <v>2020</v>
      </c>
      <c r="C553" s="62" t="s">
        <v>2021</v>
      </c>
      <c r="D553" s="62" t="s">
        <v>2022</v>
      </c>
      <c r="E553" s="86" t="s">
        <v>2023</v>
      </c>
      <c r="G553" s="27"/>
      <c r="H553" s="101" t="str">
        <f t="shared" si="8"/>
        <v>NECOMPLETAT</v>
      </c>
      <c r="I553" s="4" t="s">
        <v>3181</v>
      </c>
      <c r="J553" s="4" t="s">
        <v>3183</v>
      </c>
      <c r="K553" s="4" t="s">
        <v>3183</v>
      </c>
      <c r="L553" s="4"/>
    </row>
    <row r="554" spans="1:12" ht="60" x14ac:dyDescent="0.25">
      <c r="A554" s="52">
        <v>548</v>
      </c>
      <c r="B554" s="8" t="s">
        <v>2024</v>
      </c>
      <c r="C554" s="62" t="s">
        <v>2025</v>
      </c>
      <c r="D554" s="62" t="s">
        <v>2026</v>
      </c>
      <c r="E554" s="86" t="s">
        <v>2027</v>
      </c>
      <c r="G554" s="27"/>
      <c r="H554" s="101" t="str">
        <f t="shared" si="8"/>
        <v>NECOMPLETAT</v>
      </c>
      <c r="I554" s="4" t="s">
        <v>3183</v>
      </c>
      <c r="J554" s="4" t="s">
        <v>3183</v>
      </c>
      <c r="K554" s="4" t="s">
        <v>3180</v>
      </c>
      <c r="L554" s="4"/>
    </row>
    <row r="555" spans="1:12" ht="30" x14ac:dyDescent="0.25">
      <c r="A555" s="52">
        <v>549</v>
      </c>
      <c r="B555" s="8" t="s">
        <v>2028</v>
      </c>
      <c r="C555" s="62" t="s">
        <v>2029</v>
      </c>
      <c r="D555" s="62" t="s">
        <v>2030</v>
      </c>
      <c r="E555" s="86" t="s">
        <v>2031</v>
      </c>
      <c r="G555" s="27"/>
      <c r="H555" s="101" t="str">
        <f t="shared" si="8"/>
        <v>NECOMPLETAT</v>
      </c>
      <c r="I555" s="4" t="s">
        <v>3181</v>
      </c>
      <c r="J555" s="4" t="s">
        <v>3183</v>
      </c>
      <c r="K555" s="4" t="s">
        <v>3183</v>
      </c>
      <c r="L555" s="4"/>
    </row>
    <row r="556" spans="1:12" ht="90" x14ac:dyDescent="0.25">
      <c r="A556" s="52">
        <v>550</v>
      </c>
      <c r="B556" s="8" t="s">
        <v>2032</v>
      </c>
      <c r="C556" s="65" t="s">
        <v>2033</v>
      </c>
      <c r="D556" s="65" t="s">
        <v>2034</v>
      </c>
      <c r="E556" s="89" t="s">
        <v>2035</v>
      </c>
      <c r="G556" s="27"/>
      <c r="H556" s="101" t="str">
        <f t="shared" si="8"/>
        <v>NECOMPLETAT</v>
      </c>
      <c r="I556" s="4" t="s">
        <v>3183</v>
      </c>
      <c r="J556" s="4" t="s">
        <v>3182</v>
      </c>
      <c r="K556" s="4" t="s">
        <v>3183</v>
      </c>
      <c r="L556" s="4"/>
    </row>
    <row r="557" spans="1:12" ht="45" x14ac:dyDescent="0.25">
      <c r="A557" s="52">
        <v>551</v>
      </c>
      <c r="B557" s="8" t="s">
        <v>2036</v>
      </c>
      <c r="C557" s="62" t="s">
        <v>2037</v>
      </c>
      <c r="D557" s="62" t="s">
        <v>2038</v>
      </c>
      <c r="E557" s="86" t="s">
        <v>2039</v>
      </c>
      <c r="G557" s="27"/>
      <c r="H557" s="101" t="str">
        <f t="shared" si="8"/>
        <v>NECOMPLETAT</v>
      </c>
      <c r="I557" s="4" t="s">
        <v>3183</v>
      </c>
      <c r="J557" s="4" t="s">
        <v>3183</v>
      </c>
      <c r="K557" s="4" t="s">
        <v>3180</v>
      </c>
      <c r="L557" s="4"/>
    </row>
    <row r="558" spans="1:12" ht="45" x14ac:dyDescent="0.25">
      <c r="A558" s="52">
        <v>552</v>
      </c>
      <c r="B558" s="8" t="s">
        <v>2040</v>
      </c>
      <c r="C558" s="62" t="s">
        <v>2041</v>
      </c>
      <c r="D558" s="62" t="s">
        <v>2042</v>
      </c>
      <c r="E558" s="86" t="s">
        <v>2043</v>
      </c>
      <c r="G558" s="27"/>
      <c r="H558" s="101" t="str">
        <f t="shared" si="8"/>
        <v>NECOMPLETAT</v>
      </c>
      <c r="I558" s="4" t="s">
        <v>3183</v>
      </c>
      <c r="J558" s="4" t="s">
        <v>3183</v>
      </c>
      <c r="K558" s="4" t="s">
        <v>3180</v>
      </c>
      <c r="L558" s="4"/>
    </row>
    <row r="559" spans="1:12" ht="60" x14ac:dyDescent="0.25">
      <c r="A559" s="52">
        <v>553</v>
      </c>
      <c r="B559" s="8" t="s">
        <v>2044</v>
      </c>
      <c r="C559" s="62" t="s">
        <v>2045</v>
      </c>
      <c r="D559" s="62" t="s">
        <v>2046</v>
      </c>
      <c r="E559" s="86" t="s">
        <v>2047</v>
      </c>
      <c r="G559" s="27"/>
      <c r="H559" s="101" t="str">
        <f t="shared" si="8"/>
        <v>NECOMPLETAT</v>
      </c>
      <c r="I559" s="4" t="s">
        <v>3183</v>
      </c>
      <c r="J559" s="4" t="s">
        <v>3183</v>
      </c>
      <c r="K559" s="4" t="s">
        <v>3180</v>
      </c>
      <c r="L559" s="4"/>
    </row>
    <row r="560" spans="1:12" ht="45" x14ac:dyDescent="0.25">
      <c r="A560" s="52">
        <v>554</v>
      </c>
      <c r="B560" s="8" t="s">
        <v>2048</v>
      </c>
      <c r="C560" s="62" t="s">
        <v>2049</v>
      </c>
      <c r="D560" s="62" t="s">
        <v>2050</v>
      </c>
      <c r="E560" s="86" t="s">
        <v>2051</v>
      </c>
      <c r="G560" s="27"/>
      <c r="H560" s="101" t="str">
        <f t="shared" si="8"/>
        <v>NECOMPLETAT</v>
      </c>
      <c r="I560" s="4" t="s">
        <v>3181</v>
      </c>
      <c r="J560" s="4" t="s">
        <v>3183</v>
      </c>
      <c r="K560" s="4" t="s">
        <v>3183</v>
      </c>
      <c r="L560" s="4"/>
    </row>
    <row r="561" spans="1:12" ht="75" x14ac:dyDescent="0.25">
      <c r="A561" s="52">
        <v>555</v>
      </c>
      <c r="B561" s="8" t="s">
        <v>2052</v>
      </c>
      <c r="C561" s="65" t="s">
        <v>1611</v>
      </c>
      <c r="D561" s="65" t="s">
        <v>2053</v>
      </c>
      <c r="E561" s="89" t="s">
        <v>2054</v>
      </c>
      <c r="G561" s="27"/>
      <c r="H561" s="101" t="str">
        <f t="shared" si="8"/>
        <v>NECOMPLETAT</v>
      </c>
      <c r="I561" s="4" t="s">
        <v>3183</v>
      </c>
      <c r="J561" s="4" t="s">
        <v>3183</v>
      </c>
      <c r="K561" s="4" t="s">
        <v>3180</v>
      </c>
      <c r="L561" s="4"/>
    </row>
    <row r="562" spans="1:12" ht="45" x14ac:dyDescent="0.25">
      <c r="A562" s="52">
        <v>556</v>
      </c>
      <c r="B562" s="8" t="s">
        <v>2055</v>
      </c>
      <c r="C562" s="62" t="s">
        <v>2056</v>
      </c>
      <c r="D562" s="62" t="s">
        <v>2057</v>
      </c>
      <c r="E562" s="86" t="s">
        <v>2058</v>
      </c>
      <c r="G562" s="27"/>
      <c r="H562" s="101" t="str">
        <f t="shared" si="8"/>
        <v>NECOMPLETAT</v>
      </c>
      <c r="I562" s="4" t="s">
        <v>3183</v>
      </c>
      <c r="J562" s="4" t="s">
        <v>3182</v>
      </c>
      <c r="K562" s="4" t="s">
        <v>3183</v>
      </c>
      <c r="L562" s="4"/>
    </row>
    <row r="563" spans="1:12" ht="60" x14ac:dyDescent="0.25">
      <c r="A563" s="52">
        <v>557</v>
      </c>
      <c r="B563" s="8" t="s">
        <v>2059</v>
      </c>
      <c r="C563" s="62" t="s">
        <v>2060</v>
      </c>
      <c r="D563" s="62" t="s">
        <v>2061</v>
      </c>
      <c r="E563" s="86" t="s">
        <v>2062</v>
      </c>
      <c r="G563" s="27"/>
      <c r="H563" s="101" t="str">
        <f t="shared" si="8"/>
        <v>NECOMPLETAT</v>
      </c>
      <c r="I563" s="4" t="s">
        <v>3181</v>
      </c>
      <c r="J563" s="4" t="s">
        <v>3183</v>
      </c>
      <c r="K563" s="4" t="s">
        <v>3183</v>
      </c>
      <c r="L563" s="4"/>
    </row>
    <row r="564" spans="1:12" ht="75" x14ac:dyDescent="0.25">
      <c r="A564" s="52">
        <v>558</v>
      </c>
      <c r="B564" s="16" t="s">
        <v>2063</v>
      </c>
      <c r="C564" s="65" t="s">
        <v>1271</v>
      </c>
      <c r="D564" s="65" t="s">
        <v>2064</v>
      </c>
      <c r="E564" s="89" t="s">
        <v>2065</v>
      </c>
      <c r="G564" s="27"/>
      <c r="H564" s="101" t="str">
        <f t="shared" si="8"/>
        <v>NECOMPLETAT</v>
      </c>
      <c r="I564" s="4" t="s">
        <v>3183</v>
      </c>
      <c r="J564" s="4" t="s">
        <v>3182</v>
      </c>
      <c r="K564" s="4" t="s">
        <v>3183</v>
      </c>
      <c r="L564" s="4"/>
    </row>
    <row r="565" spans="1:12" ht="45" x14ac:dyDescent="0.25">
      <c r="A565" s="52">
        <v>559</v>
      </c>
      <c r="B565" s="8" t="s">
        <v>2066</v>
      </c>
      <c r="C565" s="62" t="s">
        <v>2067</v>
      </c>
      <c r="D565" s="62" t="s">
        <v>2068</v>
      </c>
      <c r="E565" s="86" t="s">
        <v>2069</v>
      </c>
      <c r="G565" s="27"/>
      <c r="H565" s="101" t="str">
        <f t="shared" si="8"/>
        <v>NECOMPLETAT</v>
      </c>
      <c r="I565" s="4" t="s">
        <v>3183</v>
      </c>
      <c r="J565" s="4" t="s">
        <v>3183</v>
      </c>
      <c r="K565" s="4" t="s">
        <v>3180</v>
      </c>
      <c r="L565" s="4"/>
    </row>
    <row r="566" spans="1:12" ht="45" x14ac:dyDescent="0.25">
      <c r="A566" s="52">
        <v>560</v>
      </c>
      <c r="B566" s="8" t="s">
        <v>2066</v>
      </c>
      <c r="C566" s="62" t="s">
        <v>2070</v>
      </c>
      <c r="D566" s="62" t="s">
        <v>2068</v>
      </c>
      <c r="E566" s="86" t="s">
        <v>2071</v>
      </c>
      <c r="G566" s="27"/>
      <c r="H566" s="101" t="str">
        <f t="shared" si="8"/>
        <v>NECOMPLETAT</v>
      </c>
      <c r="I566" s="4" t="s">
        <v>3183</v>
      </c>
      <c r="J566" s="4" t="s">
        <v>3183</v>
      </c>
      <c r="K566" s="4" t="s">
        <v>3180</v>
      </c>
      <c r="L566" s="4"/>
    </row>
    <row r="567" spans="1:12" ht="45" x14ac:dyDescent="0.25">
      <c r="A567" s="52">
        <v>561</v>
      </c>
      <c r="B567" s="8" t="s">
        <v>2072</v>
      </c>
      <c r="C567" s="62" t="s">
        <v>2073</v>
      </c>
      <c r="D567" s="62" t="s">
        <v>2074</v>
      </c>
      <c r="E567" s="86" t="s">
        <v>2075</v>
      </c>
      <c r="G567" s="27"/>
      <c r="H567" s="101" t="str">
        <f t="shared" si="8"/>
        <v>NECOMPLETAT</v>
      </c>
      <c r="I567" s="4" t="s">
        <v>3183</v>
      </c>
      <c r="J567" s="4" t="s">
        <v>3182</v>
      </c>
      <c r="K567" s="4" t="s">
        <v>3183</v>
      </c>
      <c r="L567" s="4"/>
    </row>
    <row r="568" spans="1:12" ht="30" x14ac:dyDescent="0.25">
      <c r="A568" s="52">
        <v>562</v>
      </c>
      <c r="B568" s="8" t="s">
        <v>2076</v>
      </c>
      <c r="C568" s="62" t="s">
        <v>2077</v>
      </c>
      <c r="D568" s="62" t="s">
        <v>2078</v>
      </c>
      <c r="E568" s="86" t="s">
        <v>2079</v>
      </c>
      <c r="G568" s="27"/>
      <c r="H568" s="101" t="str">
        <f t="shared" si="8"/>
        <v>NECOMPLETAT</v>
      </c>
      <c r="I568" s="4" t="s">
        <v>3183</v>
      </c>
      <c r="J568" s="4" t="s">
        <v>3183</v>
      </c>
      <c r="K568" s="4" t="s">
        <v>3180</v>
      </c>
      <c r="L568" s="4"/>
    </row>
    <row r="569" spans="1:12" ht="56.45" customHeight="1" x14ac:dyDescent="0.25">
      <c r="A569" s="52">
        <v>563</v>
      </c>
      <c r="B569" s="8" t="s">
        <v>2080</v>
      </c>
      <c r="C569" s="62" t="s">
        <v>2077</v>
      </c>
      <c r="D569" s="62" t="s">
        <v>2081</v>
      </c>
      <c r="E569" s="86" t="s">
        <v>2082</v>
      </c>
      <c r="G569" s="27"/>
      <c r="H569" s="101" t="str">
        <f t="shared" si="8"/>
        <v>NECOMPLETAT</v>
      </c>
      <c r="I569" s="4" t="s">
        <v>3183</v>
      </c>
      <c r="J569" s="4" t="s">
        <v>3183</v>
      </c>
      <c r="K569" s="4" t="s">
        <v>3180</v>
      </c>
      <c r="L569" s="4"/>
    </row>
    <row r="570" spans="1:12" ht="45" x14ac:dyDescent="0.25">
      <c r="A570" s="52">
        <v>564</v>
      </c>
      <c r="B570" s="8" t="s">
        <v>2083</v>
      </c>
      <c r="C570" s="65" t="s">
        <v>2084</v>
      </c>
      <c r="D570" s="65" t="s">
        <v>2085</v>
      </c>
      <c r="E570" s="89" t="s">
        <v>2086</v>
      </c>
      <c r="G570" s="27"/>
      <c r="H570" s="101" t="str">
        <f t="shared" si="8"/>
        <v>NECOMPLETAT</v>
      </c>
      <c r="I570" s="4" t="s">
        <v>3183</v>
      </c>
      <c r="J570" s="4" t="s">
        <v>3182</v>
      </c>
      <c r="K570" s="4" t="s">
        <v>3183</v>
      </c>
      <c r="L570" s="4"/>
    </row>
    <row r="571" spans="1:12" ht="30" x14ac:dyDescent="0.25">
      <c r="A571" s="52">
        <v>565</v>
      </c>
      <c r="B571" s="16" t="s">
        <v>2087</v>
      </c>
      <c r="C571" s="65" t="s">
        <v>2088</v>
      </c>
      <c r="D571" s="65" t="s">
        <v>2089</v>
      </c>
      <c r="E571" s="89" t="s">
        <v>2090</v>
      </c>
      <c r="G571" s="27"/>
      <c r="H571" s="101" t="str">
        <f t="shared" si="8"/>
        <v>NECOMPLETAT</v>
      </c>
      <c r="I571" s="4" t="s">
        <v>3183</v>
      </c>
      <c r="J571" s="4" t="s">
        <v>3183</v>
      </c>
      <c r="K571" s="4" t="s">
        <v>3180</v>
      </c>
      <c r="L571" s="4"/>
    </row>
    <row r="572" spans="1:12" ht="60" x14ac:dyDescent="0.25">
      <c r="A572" s="52">
        <v>566</v>
      </c>
      <c r="B572" s="8" t="s">
        <v>2091</v>
      </c>
      <c r="C572" s="62" t="s">
        <v>1648</v>
      </c>
      <c r="D572" s="62" t="s">
        <v>2092</v>
      </c>
      <c r="E572" s="86" t="s">
        <v>1159</v>
      </c>
      <c r="G572" s="27"/>
      <c r="H572" s="101" t="str">
        <f t="shared" si="8"/>
        <v>NECOMPLETAT</v>
      </c>
      <c r="I572" s="4" t="s">
        <v>3181</v>
      </c>
      <c r="J572" s="4" t="s">
        <v>3183</v>
      </c>
      <c r="K572" s="4" t="s">
        <v>3183</v>
      </c>
      <c r="L572" s="4"/>
    </row>
    <row r="573" spans="1:12" ht="60" x14ac:dyDescent="0.25">
      <c r="A573" s="52">
        <v>567</v>
      </c>
      <c r="B573" s="8" t="s">
        <v>2093</v>
      </c>
      <c r="C573" s="62" t="s">
        <v>2094</v>
      </c>
      <c r="D573" s="62" t="s">
        <v>2095</v>
      </c>
      <c r="E573" s="86" t="s">
        <v>2096</v>
      </c>
      <c r="G573" s="27"/>
      <c r="H573" s="101" t="str">
        <f t="shared" si="8"/>
        <v>NECOMPLETAT</v>
      </c>
      <c r="I573" s="4" t="s">
        <v>3183</v>
      </c>
      <c r="J573" s="4" t="s">
        <v>3183</v>
      </c>
      <c r="K573" s="4" t="s">
        <v>3180</v>
      </c>
      <c r="L573" s="4"/>
    </row>
    <row r="574" spans="1:12" ht="30" x14ac:dyDescent="0.25">
      <c r="A574" s="52">
        <v>568</v>
      </c>
      <c r="B574" s="8" t="s">
        <v>2097</v>
      </c>
      <c r="C574" s="62" t="s">
        <v>2098</v>
      </c>
      <c r="D574" s="62" t="s">
        <v>2099</v>
      </c>
      <c r="E574" s="86" t="s">
        <v>2100</v>
      </c>
      <c r="G574" s="27"/>
      <c r="H574" s="101" t="str">
        <f t="shared" si="8"/>
        <v>NECOMPLETAT</v>
      </c>
      <c r="I574" s="4" t="s">
        <v>3183</v>
      </c>
      <c r="J574" s="4" t="s">
        <v>3182</v>
      </c>
      <c r="K574" s="4" t="s">
        <v>3183</v>
      </c>
      <c r="L574" s="4"/>
    </row>
    <row r="575" spans="1:12" ht="60" x14ac:dyDescent="0.25">
      <c r="A575" s="52">
        <v>569</v>
      </c>
      <c r="B575" s="8" t="s">
        <v>2101</v>
      </c>
      <c r="C575" s="62" t="s">
        <v>2102</v>
      </c>
      <c r="D575" s="62" t="s">
        <v>2103</v>
      </c>
      <c r="E575" s="86" t="s">
        <v>2104</v>
      </c>
      <c r="G575" s="27"/>
      <c r="H575" s="101" t="str">
        <f t="shared" si="8"/>
        <v>NECOMPLETAT</v>
      </c>
      <c r="I575" s="4" t="s">
        <v>3181</v>
      </c>
      <c r="J575" s="4" t="s">
        <v>3183</v>
      </c>
      <c r="K575" s="4" t="s">
        <v>3183</v>
      </c>
      <c r="L575" s="4"/>
    </row>
    <row r="576" spans="1:12" ht="30" x14ac:dyDescent="0.25">
      <c r="A576" s="52">
        <v>570</v>
      </c>
      <c r="B576" s="8" t="s">
        <v>2105</v>
      </c>
      <c r="C576" s="62" t="s">
        <v>2106</v>
      </c>
      <c r="D576" s="62" t="s">
        <v>2107</v>
      </c>
      <c r="E576" s="86" t="s">
        <v>2108</v>
      </c>
      <c r="G576" s="27"/>
      <c r="H576" s="101" t="str">
        <f t="shared" si="8"/>
        <v>NECOMPLETAT</v>
      </c>
      <c r="I576" s="4" t="s">
        <v>3181</v>
      </c>
      <c r="J576" s="4" t="s">
        <v>3183</v>
      </c>
      <c r="K576" s="4" t="s">
        <v>3183</v>
      </c>
      <c r="L576" s="4"/>
    </row>
    <row r="577" spans="1:13" ht="90" x14ac:dyDescent="0.25">
      <c r="A577" s="52">
        <v>571</v>
      </c>
      <c r="B577" s="8" t="s">
        <v>2109</v>
      </c>
      <c r="C577" s="62" t="s">
        <v>2110</v>
      </c>
      <c r="D577" s="62" t="s">
        <v>2111</v>
      </c>
      <c r="E577" s="86" t="s">
        <v>2112</v>
      </c>
      <c r="G577" s="27"/>
      <c r="H577" s="101" t="str">
        <f t="shared" si="8"/>
        <v>NECOMPLETAT</v>
      </c>
      <c r="I577" s="4" t="s">
        <v>3183</v>
      </c>
      <c r="J577" s="4" t="s">
        <v>3183</v>
      </c>
      <c r="K577" s="4" t="s">
        <v>3180</v>
      </c>
      <c r="L577" s="4"/>
    </row>
    <row r="578" spans="1:13" ht="30" x14ac:dyDescent="0.25">
      <c r="A578" s="52">
        <v>572</v>
      </c>
      <c r="B578" s="8" t="s">
        <v>2113</v>
      </c>
      <c r="C578" s="62" t="s">
        <v>2114</v>
      </c>
      <c r="D578" s="62" t="s">
        <v>2111</v>
      </c>
      <c r="E578" s="86" t="s">
        <v>2115</v>
      </c>
      <c r="G578" s="27"/>
      <c r="H578" s="101" t="str">
        <f t="shared" si="8"/>
        <v>NECOMPLETAT</v>
      </c>
      <c r="I578" s="4" t="s">
        <v>3181</v>
      </c>
      <c r="J578" s="4" t="s">
        <v>3183</v>
      </c>
      <c r="K578" s="4" t="s">
        <v>3183</v>
      </c>
      <c r="L578" s="4"/>
    </row>
    <row r="579" spans="1:13" ht="45" x14ac:dyDescent="0.25">
      <c r="A579" s="52">
        <v>573</v>
      </c>
      <c r="B579" s="8" t="s">
        <v>2116</v>
      </c>
      <c r="C579" s="66" t="s">
        <v>2117</v>
      </c>
      <c r="D579" s="62" t="s">
        <v>2118</v>
      </c>
      <c r="E579" s="86" t="s">
        <v>2119</v>
      </c>
      <c r="G579" s="27"/>
      <c r="H579" s="101" t="str">
        <f t="shared" si="8"/>
        <v>NECOMPLETAT</v>
      </c>
      <c r="I579" s="4" t="s">
        <v>3183</v>
      </c>
      <c r="J579" s="4" t="s">
        <v>3182</v>
      </c>
      <c r="K579" s="4" t="s">
        <v>3183</v>
      </c>
      <c r="L579" s="4"/>
      <c r="M579" s="4" t="s">
        <v>3193</v>
      </c>
    </row>
    <row r="580" spans="1:13" ht="105" x14ac:dyDescent="0.25">
      <c r="A580" s="52">
        <v>574</v>
      </c>
      <c r="B580" s="15" t="s">
        <v>2120</v>
      </c>
      <c r="C580" s="62" t="s">
        <v>1185</v>
      </c>
      <c r="D580" s="62" t="s">
        <v>1186</v>
      </c>
      <c r="E580" s="86" t="s">
        <v>1187</v>
      </c>
      <c r="G580" s="27"/>
      <c r="H580" s="101" t="str">
        <f t="shared" si="8"/>
        <v>NECOMPLETAT</v>
      </c>
      <c r="I580" s="4" t="s">
        <v>3183</v>
      </c>
      <c r="J580" s="4" t="s">
        <v>3183</v>
      </c>
      <c r="K580" s="4" t="s">
        <v>3180</v>
      </c>
      <c r="L580" s="4"/>
    </row>
    <row r="581" spans="1:13" ht="93.6" customHeight="1" x14ac:dyDescent="0.25">
      <c r="A581" s="52">
        <v>575</v>
      </c>
      <c r="B581" s="8" t="s">
        <v>2121</v>
      </c>
      <c r="C581" s="62" t="s">
        <v>2122</v>
      </c>
      <c r="D581" s="62" t="s">
        <v>2123</v>
      </c>
      <c r="E581" s="86" t="s">
        <v>2124</v>
      </c>
      <c r="G581" s="27"/>
      <c r="H581" s="101" t="str">
        <f t="shared" si="8"/>
        <v>NECOMPLETAT</v>
      </c>
      <c r="I581" s="4" t="s">
        <v>3181</v>
      </c>
      <c r="J581" s="4" t="s">
        <v>3183</v>
      </c>
      <c r="K581" s="4" t="s">
        <v>3183</v>
      </c>
      <c r="L581" s="4"/>
    </row>
    <row r="582" spans="1:13" ht="60" x14ac:dyDescent="0.25">
      <c r="A582" s="52">
        <v>576</v>
      </c>
      <c r="B582" s="8" t="s">
        <v>2125</v>
      </c>
      <c r="C582" s="62" t="s">
        <v>2126</v>
      </c>
      <c r="D582" s="62" t="s">
        <v>2127</v>
      </c>
      <c r="E582" s="86" t="s">
        <v>2128</v>
      </c>
      <c r="G582" s="27"/>
      <c r="H582" s="101" t="str">
        <f t="shared" si="8"/>
        <v>NECOMPLETAT</v>
      </c>
      <c r="I582" s="4" t="s">
        <v>3183</v>
      </c>
      <c r="J582" s="4" t="s">
        <v>3183</v>
      </c>
      <c r="K582" s="4" t="s">
        <v>3180</v>
      </c>
      <c r="L582" s="4"/>
    </row>
    <row r="583" spans="1:13" ht="45" x14ac:dyDescent="0.25">
      <c r="A583" s="52">
        <v>577</v>
      </c>
      <c r="B583" s="8" t="s">
        <v>2129</v>
      </c>
      <c r="C583" s="65" t="s">
        <v>2130</v>
      </c>
      <c r="D583" s="65" t="s">
        <v>2131</v>
      </c>
      <c r="E583" s="89" t="s">
        <v>2132</v>
      </c>
      <c r="G583" s="27"/>
      <c r="H583" s="101" t="str">
        <f t="shared" si="8"/>
        <v>NECOMPLETAT</v>
      </c>
      <c r="I583" s="4" t="s">
        <v>3183</v>
      </c>
      <c r="J583" s="4" t="s">
        <v>3182</v>
      </c>
      <c r="K583" s="4" t="s">
        <v>3183</v>
      </c>
      <c r="L583" s="4"/>
    </row>
    <row r="584" spans="1:13" ht="60" x14ac:dyDescent="0.25">
      <c r="A584" s="52">
        <v>578</v>
      </c>
      <c r="B584" s="8" t="s">
        <v>2133</v>
      </c>
      <c r="C584" s="62" t="s">
        <v>2134</v>
      </c>
      <c r="D584" s="62" t="s">
        <v>2135</v>
      </c>
      <c r="E584" s="86" t="s">
        <v>2136</v>
      </c>
      <c r="G584" s="27"/>
      <c r="H584" s="101" t="str">
        <f t="shared" ref="H584:H647" si="9">IF(G584=0,"NECOMPLETAT",IF(OR(G584=I584,G584=J584,G584=K584),"CORECT","GRESIT"))</f>
        <v>NECOMPLETAT</v>
      </c>
      <c r="I584" s="4" t="s">
        <v>3183</v>
      </c>
      <c r="J584" s="4" t="s">
        <v>3182</v>
      </c>
      <c r="K584" s="4" t="s">
        <v>3183</v>
      </c>
      <c r="L584" s="4"/>
    </row>
    <row r="585" spans="1:13" ht="45" x14ac:dyDescent="0.25">
      <c r="A585" s="52">
        <v>579</v>
      </c>
      <c r="B585" s="8" t="s">
        <v>2137</v>
      </c>
      <c r="C585" s="70" t="s">
        <v>2138</v>
      </c>
      <c r="D585" s="62" t="s">
        <v>2139</v>
      </c>
      <c r="E585" s="86" t="s">
        <v>2140</v>
      </c>
      <c r="G585" s="27"/>
      <c r="H585" s="101" t="str">
        <f t="shared" si="9"/>
        <v>NECOMPLETAT</v>
      </c>
      <c r="I585" s="4" t="s">
        <v>3183</v>
      </c>
      <c r="J585" s="4" t="s">
        <v>3182</v>
      </c>
      <c r="K585" s="4" t="s">
        <v>3183</v>
      </c>
      <c r="L585" s="4"/>
    </row>
    <row r="586" spans="1:13" ht="60" x14ac:dyDescent="0.25">
      <c r="A586" s="52">
        <v>580</v>
      </c>
      <c r="B586" s="8" t="s">
        <v>2141</v>
      </c>
      <c r="C586" s="65" t="s">
        <v>2142</v>
      </c>
      <c r="D586" s="62" t="s">
        <v>2143</v>
      </c>
      <c r="E586" s="86" t="s">
        <v>2144</v>
      </c>
      <c r="G586" s="27"/>
      <c r="H586" s="101" t="str">
        <f t="shared" si="9"/>
        <v>NECOMPLETAT</v>
      </c>
      <c r="I586" s="4" t="s">
        <v>3183</v>
      </c>
      <c r="J586" s="4" t="s">
        <v>3183</v>
      </c>
      <c r="K586" s="4" t="s">
        <v>3180</v>
      </c>
      <c r="L586" s="4"/>
    </row>
    <row r="587" spans="1:13" ht="60" x14ac:dyDescent="0.25">
      <c r="A587" s="52">
        <v>581</v>
      </c>
      <c r="B587" s="8" t="s">
        <v>2145</v>
      </c>
      <c r="C587" s="62" t="s">
        <v>1056</v>
      </c>
      <c r="D587" s="62" t="s">
        <v>2146</v>
      </c>
      <c r="E587" s="86" t="s">
        <v>2147</v>
      </c>
      <c r="G587" s="27"/>
      <c r="H587" s="101" t="str">
        <f t="shared" si="9"/>
        <v>NECOMPLETAT</v>
      </c>
      <c r="I587" s="4" t="s">
        <v>3181</v>
      </c>
      <c r="J587" s="4" t="s">
        <v>3183</v>
      </c>
      <c r="K587" s="4" t="s">
        <v>3183</v>
      </c>
      <c r="L587" s="4"/>
    </row>
    <row r="588" spans="1:13" ht="45" x14ac:dyDescent="0.25">
      <c r="A588" s="52">
        <v>582</v>
      </c>
      <c r="B588" s="16" t="s">
        <v>2148</v>
      </c>
      <c r="C588" s="65" t="s">
        <v>2142</v>
      </c>
      <c r="D588" s="62" t="s">
        <v>2143</v>
      </c>
      <c r="E588" s="89" t="s">
        <v>2149</v>
      </c>
      <c r="G588" s="27"/>
      <c r="H588" s="101" t="str">
        <f t="shared" si="9"/>
        <v>NECOMPLETAT</v>
      </c>
      <c r="I588" s="4" t="s">
        <v>3183</v>
      </c>
      <c r="J588" s="4" t="s">
        <v>3183</v>
      </c>
      <c r="K588" s="4" t="s">
        <v>3180</v>
      </c>
      <c r="L588" s="4"/>
    </row>
    <row r="589" spans="1:13" ht="45" x14ac:dyDescent="0.25">
      <c r="A589" s="52">
        <v>583</v>
      </c>
      <c r="B589" s="8" t="s">
        <v>2150</v>
      </c>
      <c r="C589" s="62" t="s">
        <v>1664</v>
      </c>
      <c r="D589" s="62" t="s">
        <v>2151</v>
      </c>
      <c r="E589" s="86" t="s">
        <v>2152</v>
      </c>
      <c r="G589" s="27"/>
      <c r="H589" s="101" t="str">
        <f t="shared" si="9"/>
        <v>NECOMPLETAT</v>
      </c>
      <c r="I589" s="4" t="s">
        <v>3181</v>
      </c>
      <c r="J589" s="4" t="s">
        <v>3183</v>
      </c>
      <c r="K589" s="4" t="s">
        <v>3183</v>
      </c>
      <c r="L589" s="4"/>
    </row>
    <row r="590" spans="1:13" ht="60" x14ac:dyDescent="0.25">
      <c r="A590" s="52">
        <v>584</v>
      </c>
      <c r="B590" s="8" t="s">
        <v>2153</v>
      </c>
      <c r="C590" s="62" t="s">
        <v>2154</v>
      </c>
      <c r="D590" s="62" t="s">
        <v>2155</v>
      </c>
      <c r="E590" s="86" t="s">
        <v>2156</v>
      </c>
      <c r="G590" s="27"/>
      <c r="H590" s="101" t="str">
        <f t="shared" si="9"/>
        <v>NECOMPLETAT</v>
      </c>
      <c r="I590" s="4" t="s">
        <v>3183</v>
      </c>
      <c r="J590" s="4" t="s">
        <v>3183</v>
      </c>
      <c r="K590" s="4" t="s">
        <v>3180</v>
      </c>
      <c r="L590" s="4"/>
    </row>
    <row r="591" spans="1:13" ht="30" x14ac:dyDescent="0.25">
      <c r="A591" s="52">
        <v>585</v>
      </c>
      <c r="B591" s="8" t="s">
        <v>2157</v>
      </c>
      <c r="C591" s="62" t="s">
        <v>2158</v>
      </c>
      <c r="D591" s="62" t="s">
        <v>2159</v>
      </c>
      <c r="E591" s="86" t="s">
        <v>2160</v>
      </c>
      <c r="G591" s="27"/>
      <c r="H591" s="101" t="str">
        <f t="shared" si="9"/>
        <v>NECOMPLETAT</v>
      </c>
      <c r="I591" s="4" t="s">
        <v>3183</v>
      </c>
      <c r="J591" s="4" t="s">
        <v>3182</v>
      </c>
      <c r="K591" s="4" t="s">
        <v>3183</v>
      </c>
      <c r="L591" s="4"/>
    </row>
    <row r="592" spans="1:13" ht="45" x14ac:dyDescent="0.25">
      <c r="A592" s="52">
        <v>586</v>
      </c>
      <c r="B592" s="8" t="s">
        <v>2161</v>
      </c>
      <c r="C592" s="66" t="s">
        <v>2162</v>
      </c>
      <c r="D592" s="66" t="s">
        <v>2163</v>
      </c>
      <c r="E592" s="93" t="s">
        <v>2164</v>
      </c>
      <c r="G592" s="27"/>
      <c r="H592" s="101" t="str">
        <f t="shared" si="9"/>
        <v>NECOMPLETAT</v>
      </c>
      <c r="I592" s="4" t="s">
        <v>3183</v>
      </c>
      <c r="J592" s="4" t="s">
        <v>3183</v>
      </c>
      <c r="K592" s="4" t="s">
        <v>3180</v>
      </c>
      <c r="L592" s="4"/>
    </row>
    <row r="593" spans="1:12" ht="45" x14ac:dyDescent="0.25">
      <c r="A593" s="52">
        <v>587</v>
      </c>
      <c r="B593" s="8" t="s">
        <v>2165</v>
      </c>
      <c r="C593" s="62" t="s">
        <v>2166</v>
      </c>
      <c r="D593" s="62" t="s">
        <v>2167</v>
      </c>
      <c r="E593" s="86" t="s">
        <v>2168</v>
      </c>
      <c r="G593" s="27"/>
      <c r="H593" s="101" t="str">
        <f t="shared" si="9"/>
        <v>NECOMPLETAT</v>
      </c>
      <c r="I593" s="4" t="s">
        <v>3183</v>
      </c>
      <c r="J593" s="4" t="s">
        <v>3183</v>
      </c>
      <c r="K593" s="4" t="s">
        <v>3180</v>
      </c>
      <c r="L593" s="4"/>
    </row>
    <row r="594" spans="1:12" ht="75" x14ac:dyDescent="0.25">
      <c r="A594" s="52">
        <v>588</v>
      </c>
      <c r="B594" s="8" t="s">
        <v>2169</v>
      </c>
      <c r="C594" s="62" t="s">
        <v>2170</v>
      </c>
      <c r="D594" s="62" t="s">
        <v>2171</v>
      </c>
      <c r="E594" s="86" t="s">
        <v>2172</v>
      </c>
      <c r="G594" s="27"/>
      <c r="H594" s="101" t="str">
        <f t="shared" si="9"/>
        <v>NECOMPLETAT</v>
      </c>
      <c r="I594" s="4" t="s">
        <v>3183</v>
      </c>
      <c r="J594" s="4" t="s">
        <v>3183</v>
      </c>
      <c r="K594" s="4" t="s">
        <v>3180</v>
      </c>
      <c r="L594" s="4"/>
    </row>
    <row r="595" spans="1:12" ht="75" x14ac:dyDescent="0.25">
      <c r="A595" s="52">
        <v>589</v>
      </c>
      <c r="B595" s="15" t="s">
        <v>2173</v>
      </c>
      <c r="C595" s="62" t="s">
        <v>2174</v>
      </c>
      <c r="D595" s="62" t="s">
        <v>2175</v>
      </c>
      <c r="E595" s="86" t="s">
        <v>2176</v>
      </c>
      <c r="G595" s="27"/>
      <c r="H595" s="101" t="str">
        <f t="shared" si="9"/>
        <v>NECOMPLETAT</v>
      </c>
      <c r="I595" s="4" t="s">
        <v>3181</v>
      </c>
      <c r="J595" s="4" t="s">
        <v>3183</v>
      </c>
      <c r="K595" s="4" t="s">
        <v>3183</v>
      </c>
      <c r="L595" s="4"/>
    </row>
    <row r="596" spans="1:12" ht="75" x14ac:dyDescent="0.25">
      <c r="A596" s="52">
        <v>590</v>
      </c>
      <c r="B596" s="8" t="s">
        <v>2173</v>
      </c>
      <c r="C596" s="62" t="s">
        <v>2177</v>
      </c>
      <c r="D596" s="62" t="s">
        <v>2178</v>
      </c>
      <c r="E596" s="86" t="s">
        <v>2176</v>
      </c>
      <c r="G596" s="27"/>
      <c r="H596" s="101" t="str">
        <f t="shared" si="9"/>
        <v>NECOMPLETAT</v>
      </c>
      <c r="I596" s="4" t="s">
        <v>3183</v>
      </c>
      <c r="J596" s="4" t="s">
        <v>3182</v>
      </c>
      <c r="K596" s="4" t="s">
        <v>3183</v>
      </c>
      <c r="L596" s="4"/>
    </row>
    <row r="597" spans="1:12" ht="60" x14ac:dyDescent="0.25">
      <c r="A597" s="52">
        <v>591</v>
      </c>
      <c r="B597" s="8" t="s">
        <v>2179</v>
      </c>
      <c r="C597" s="62" t="s">
        <v>2180</v>
      </c>
      <c r="D597" s="62" t="s">
        <v>2181</v>
      </c>
      <c r="E597" s="86" t="s">
        <v>2182</v>
      </c>
      <c r="G597" s="27"/>
      <c r="H597" s="101" t="str">
        <f t="shared" si="9"/>
        <v>NECOMPLETAT</v>
      </c>
      <c r="I597" s="4" t="s">
        <v>3183</v>
      </c>
      <c r="J597" s="4" t="s">
        <v>3183</v>
      </c>
      <c r="K597" s="4" t="s">
        <v>3180</v>
      </c>
      <c r="L597" s="4"/>
    </row>
    <row r="598" spans="1:12" ht="75" x14ac:dyDescent="0.25">
      <c r="A598" s="52">
        <v>592</v>
      </c>
      <c r="B598" s="8" t="s">
        <v>2183</v>
      </c>
      <c r="C598" s="62" t="s">
        <v>2184</v>
      </c>
      <c r="D598" s="62" t="s">
        <v>2185</v>
      </c>
      <c r="E598" s="86" t="s">
        <v>2186</v>
      </c>
      <c r="G598" s="27"/>
      <c r="H598" s="101" t="str">
        <f t="shared" si="9"/>
        <v>NECOMPLETAT</v>
      </c>
      <c r="I598" s="4" t="s">
        <v>3183</v>
      </c>
      <c r="J598" s="4" t="s">
        <v>3182</v>
      </c>
      <c r="K598" s="4" t="s">
        <v>3183</v>
      </c>
      <c r="L598" s="4"/>
    </row>
    <row r="599" spans="1:12" ht="45" x14ac:dyDescent="0.25">
      <c r="A599" s="52">
        <v>593</v>
      </c>
      <c r="B599" s="8" t="s">
        <v>2187</v>
      </c>
      <c r="C599" s="65" t="s">
        <v>2188</v>
      </c>
      <c r="D599" s="65" t="s">
        <v>2189</v>
      </c>
      <c r="E599" s="89" t="s">
        <v>2190</v>
      </c>
      <c r="G599" s="27"/>
      <c r="H599" s="101" t="str">
        <f t="shared" si="9"/>
        <v>NECOMPLETAT</v>
      </c>
      <c r="I599" s="4" t="s">
        <v>3183</v>
      </c>
      <c r="J599" s="4" t="s">
        <v>3183</v>
      </c>
      <c r="K599" s="4" t="s">
        <v>3180</v>
      </c>
      <c r="L599" s="4"/>
    </row>
    <row r="600" spans="1:12" ht="45" x14ac:dyDescent="0.25">
      <c r="A600" s="52">
        <v>594</v>
      </c>
      <c r="B600" s="8" t="s">
        <v>2191</v>
      </c>
      <c r="C600" s="62" t="s">
        <v>2192</v>
      </c>
      <c r="D600" s="62" t="s">
        <v>2193</v>
      </c>
      <c r="E600" s="86" t="s">
        <v>2194</v>
      </c>
      <c r="G600" s="27"/>
      <c r="H600" s="101" t="str">
        <f t="shared" si="9"/>
        <v>NECOMPLETAT</v>
      </c>
      <c r="I600" s="4" t="s">
        <v>3183</v>
      </c>
      <c r="J600" s="4" t="s">
        <v>3183</v>
      </c>
      <c r="K600" s="4" t="s">
        <v>3180</v>
      </c>
      <c r="L600" s="4"/>
    </row>
    <row r="601" spans="1:12" ht="30" x14ac:dyDescent="0.25">
      <c r="A601" s="52">
        <v>595</v>
      </c>
      <c r="B601" s="8" t="s">
        <v>2195</v>
      </c>
      <c r="C601" s="62" t="s">
        <v>2196</v>
      </c>
      <c r="D601" s="62" t="s">
        <v>2197</v>
      </c>
      <c r="E601" s="86" t="s">
        <v>2198</v>
      </c>
      <c r="G601" s="27"/>
      <c r="H601" s="101" t="str">
        <f t="shared" si="9"/>
        <v>NECOMPLETAT</v>
      </c>
      <c r="I601" s="4" t="s">
        <v>3183</v>
      </c>
      <c r="J601" s="4" t="s">
        <v>3182</v>
      </c>
      <c r="K601" s="4" t="s">
        <v>3183</v>
      </c>
      <c r="L601" s="4"/>
    </row>
    <row r="602" spans="1:12" ht="60" x14ac:dyDescent="0.25">
      <c r="A602" s="52">
        <v>596</v>
      </c>
      <c r="B602" s="8" t="s">
        <v>2199</v>
      </c>
      <c r="C602" s="62" t="s">
        <v>2200</v>
      </c>
      <c r="D602" s="62" t="s">
        <v>2201</v>
      </c>
      <c r="E602" s="86" t="s">
        <v>2202</v>
      </c>
      <c r="G602" s="27"/>
      <c r="H602" s="101" t="str">
        <f t="shared" si="9"/>
        <v>NECOMPLETAT</v>
      </c>
      <c r="I602" s="4" t="s">
        <v>3181</v>
      </c>
      <c r="J602" s="4" t="s">
        <v>3183</v>
      </c>
      <c r="K602" s="4" t="s">
        <v>3183</v>
      </c>
      <c r="L602" s="4"/>
    </row>
    <row r="603" spans="1:12" ht="60" x14ac:dyDescent="0.25">
      <c r="A603" s="52">
        <v>597</v>
      </c>
      <c r="B603" s="8" t="s">
        <v>2203</v>
      </c>
      <c r="C603" s="62" t="s">
        <v>2204</v>
      </c>
      <c r="D603" s="62" t="s">
        <v>2205</v>
      </c>
      <c r="E603" s="86" t="s">
        <v>2206</v>
      </c>
      <c r="G603" s="27"/>
      <c r="H603" s="101" t="str">
        <f t="shared" si="9"/>
        <v>NECOMPLETAT</v>
      </c>
      <c r="I603" s="4" t="s">
        <v>3181</v>
      </c>
      <c r="J603" s="4" t="s">
        <v>3183</v>
      </c>
      <c r="K603" s="4" t="s">
        <v>3183</v>
      </c>
      <c r="L603" s="4"/>
    </row>
    <row r="604" spans="1:12" ht="45" x14ac:dyDescent="0.25">
      <c r="A604" s="52">
        <v>598</v>
      </c>
      <c r="B604" s="8" t="s">
        <v>2207</v>
      </c>
      <c r="C604" s="65" t="s">
        <v>1362</v>
      </c>
      <c r="D604" s="62" t="s">
        <v>2208</v>
      </c>
      <c r="E604" s="86" t="s">
        <v>2209</v>
      </c>
      <c r="G604" s="27"/>
      <c r="H604" s="101" t="str">
        <f t="shared" si="9"/>
        <v>NECOMPLETAT</v>
      </c>
      <c r="I604" s="4" t="s">
        <v>3183</v>
      </c>
      <c r="J604" s="4" t="s">
        <v>3182</v>
      </c>
      <c r="K604" s="4" t="s">
        <v>3183</v>
      </c>
      <c r="L604" s="4"/>
    </row>
    <row r="605" spans="1:12" ht="45" x14ac:dyDescent="0.25">
      <c r="A605" s="52">
        <v>599</v>
      </c>
      <c r="B605" s="8" t="s">
        <v>2210</v>
      </c>
      <c r="C605" s="62" t="s">
        <v>2211</v>
      </c>
      <c r="D605" s="62" t="s">
        <v>2212</v>
      </c>
      <c r="E605" s="86" t="s">
        <v>2213</v>
      </c>
      <c r="G605" s="27"/>
      <c r="H605" s="101" t="str">
        <f t="shared" si="9"/>
        <v>NECOMPLETAT</v>
      </c>
      <c r="I605" s="4" t="s">
        <v>3181</v>
      </c>
      <c r="J605" s="4" t="s">
        <v>3183</v>
      </c>
      <c r="K605" s="4" t="s">
        <v>3183</v>
      </c>
      <c r="L605" s="4"/>
    </row>
    <row r="606" spans="1:12" ht="30" x14ac:dyDescent="0.25">
      <c r="A606" s="52">
        <v>600</v>
      </c>
      <c r="B606" s="8" t="s">
        <v>2214</v>
      </c>
      <c r="C606" s="62" t="s">
        <v>2215</v>
      </c>
      <c r="D606" s="62" t="s">
        <v>2216</v>
      </c>
      <c r="E606" s="86" t="s">
        <v>2217</v>
      </c>
      <c r="G606" s="27"/>
      <c r="H606" s="101" t="str">
        <f t="shared" si="9"/>
        <v>NECOMPLETAT</v>
      </c>
      <c r="I606" s="4" t="s">
        <v>3183</v>
      </c>
      <c r="J606" s="4" t="s">
        <v>3182</v>
      </c>
      <c r="K606" s="4" t="s">
        <v>3183</v>
      </c>
      <c r="L606" s="4"/>
    </row>
    <row r="607" spans="1:12" ht="60" x14ac:dyDescent="0.25">
      <c r="A607" s="52">
        <v>601</v>
      </c>
      <c r="B607" s="8" t="s">
        <v>2218</v>
      </c>
      <c r="C607" s="62" t="s">
        <v>2219</v>
      </c>
      <c r="D607" s="62" t="s">
        <v>2220</v>
      </c>
      <c r="E607" s="86" t="s">
        <v>2221</v>
      </c>
      <c r="G607" s="27"/>
      <c r="H607" s="101" t="str">
        <f t="shared" si="9"/>
        <v>NECOMPLETAT</v>
      </c>
      <c r="I607" s="4" t="s">
        <v>3181</v>
      </c>
      <c r="J607" s="4" t="s">
        <v>3183</v>
      </c>
      <c r="K607" s="4" t="s">
        <v>3183</v>
      </c>
      <c r="L607" s="4"/>
    </row>
    <row r="608" spans="1:12" ht="84.6" customHeight="1" x14ac:dyDescent="0.25">
      <c r="A608" s="52">
        <v>602</v>
      </c>
      <c r="B608" s="8" t="s">
        <v>2222</v>
      </c>
      <c r="C608" s="64">
        <v>0.01</v>
      </c>
      <c r="D608" s="64">
        <v>0.02</v>
      </c>
      <c r="E608" s="88">
        <v>0.03</v>
      </c>
      <c r="G608" s="27"/>
      <c r="H608" s="101" t="str">
        <f t="shared" si="9"/>
        <v>NECOMPLETAT</v>
      </c>
      <c r="I608" s="4" t="s">
        <v>3183</v>
      </c>
      <c r="J608" s="4" t="s">
        <v>3183</v>
      </c>
      <c r="K608" s="4" t="s">
        <v>3180</v>
      </c>
      <c r="L608" s="4"/>
    </row>
    <row r="609" spans="1:12" ht="45" x14ac:dyDescent="0.25">
      <c r="A609" s="52">
        <v>603</v>
      </c>
      <c r="B609" s="8" t="s">
        <v>2223</v>
      </c>
      <c r="C609" s="62" t="s">
        <v>2224</v>
      </c>
      <c r="D609" s="62" t="s">
        <v>2225</v>
      </c>
      <c r="E609" s="86" t="s">
        <v>2226</v>
      </c>
      <c r="G609" s="27"/>
      <c r="H609" s="101" t="str">
        <f t="shared" si="9"/>
        <v>NECOMPLETAT</v>
      </c>
      <c r="I609" s="4" t="s">
        <v>3181</v>
      </c>
      <c r="J609" s="4" t="s">
        <v>3183</v>
      </c>
      <c r="K609" s="4" t="s">
        <v>3183</v>
      </c>
      <c r="L609" s="4"/>
    </row>
    <row r="610" spans="1:12" ht="45" x14ac:dyDescent="0.25">
      <c r="A610" s="52">
        <v>604</v>
      </c>
      <c r="B610" s="8" t="s">
        <v>2227</v>
      </c>
      <c r="C610" s="62" t="s">
        <v>2228</v>
      </c>
      <c r="D610" s="62" t="s">
        <v>2229</v>
      </c>
      <c r="E610" s="86" t="s">
        <v>2230</v>
      </c>
      <c r="G610" s="27"/>
      <c r="H610" s="101" t="str">
        <f t="shared" si="9"/>
        <v>NECOMPLETAT</v>
      </c>
      <c r="I610" s="4" t="s">
        <v>3183</v>
      </c>
      <c r="J610" s="4" t="s">
        <v>3182</v>
      </c>
      <c r="K610" s="4" t="s">
        <v>3183</v>
      </c>
      <c r="L610" s="4"/>
    </row>
    <row r="611" spans="1:12" ht="105" x14ac:dyDescent="0.25">
      <c r="A611" s="52">
        <v>605</v>
      </c>
      <c r="B611" s="8" t="s">
        <v>2231</v>
      </c>
      <c r="C611" s="62" t="s">
        <v>2232</v>
      </c>
      <c r="D611" s="62" t="s">
        <v>1955</v>
      </c>
      <c r="E611" s="86" t="s">
        <v>1957</v>
      </c>
      <c r="G611" s="27"/>
      <c r="H611" s="101" t="str">
        <f t="shared" si="9"/>
        <v>NECOMPLETAT</v>
      </c>
      <c r="I611" s="4" t="s">
        <v>3183</v>
      </c>
      <c r="J611" s="4" t="s">
        <v>3182</v>
      </c>
      <c r="K611" s="4" t="s">
        <v>3183</v>
      </c>
      <c r="L611" s="4"/>
    </row>
    <row r="612" spans="1:12" ht="60" x14ac:dyDescent="0.25">
      <c r="A612" s="52">
        <v>606</v>
      </c>
      <c r="B612" s="8" t="s">
        <v>2233</v>
      </c>
      <c r="C612" s="62" t="s">
        <v>2234</v>
      </c>
      <c r="D612" s="62" t="s">
        <v>2235</v>
      </c>
      <c r="E612" s="86" t="s">
        <v>2236</v>
      </c>
      <c r="G612" s="27"/>
      <c r="H612" s="101" t="str">
        <f t="shared" si="9"/>
        <v>NECOMPLETAT</v>
      </c>
      <c r="I612" s="4" t="s">
        <v>3183</v>
      </c>
      <c r="J612" s="4" t="s">
        <v>3183</v>
      </c>
      <c r="K612" s="4" t="s">
        <v>3180</v>
      </c>
      <c r="L612" s="4"/>
    </row>
    <row r="613" spans="1:12" ht="60" x14ac:dyDescent="0.25">
      <c r="A613" s="52">
        <v>607</v>
      </c>
      <c r="B613" s="8" t="s">
        <v>2237</v>
      </c>
      <c r="C613" s="62" t="s">
        <v>2234</v>
      </c>
      <c r="D613" s="62" t="s">
        <v>2235</v>
      </c>
      <c r="E613" s="86" t="s">
        <v>2238</v>
      </c>
      <c r="G613" s="27"/>
      <c r="H613" s="101" t="str">
        <f t="shared" si="9"/>
        <v>NECOMPLETAT</v>
      </c>
      <c r="I613" s="4" t="s">
        <v>3183</v>
      </c>
      <c r="J613" s="4" t="s">
        <v>3183</v>
      </c>
      <c r="K613" s="4" t="s">
        <v>3180</v>
      </c>
      <c r="L613" s="4"/>
    </row>
    <row r="614" spans="1:12" ht="45" x14ac:dyDescent="0.25">
      <c r="A614" s="52">
        <v>608</v>
      </c>
      <c r="B614" s="8" t="s">
        <v>2239</v>
      </c>
      <c r="C614" s="62" t="s">
        <v>2240</v>
      </c>
      <c r="D614" s="62" t="s">
        <v>2241</v>
      </c>
      <c r="E614" s="86" t="s">
        <v>2242</v>
      </c>
      <c r="G614" s="27"/>
      <c r="H614" s="101" t="str">
        <f t="shared" si="9"/>
        <v>NECOMPLETAT</v>
      </c>
      <c r="I614" s="4" t="s">
        <v>3183</v>
      </c>
      <c r="J614" s="4" t="s">
        <v>3183</v>
      </c>
      <c r="K614" s="4" t="s">
        <v>3180</v>
      </c>
      <c r="L614" s="4"/>
    </row>
    <row r="615" spans="1:12" ht="75" x14ac:dyDescent="0.25">
      <c r="A615" s="52">
        <v>609</v>
      </c>
      <c r="B615" s="8" t="s">
        <v>2243</v>
      </c>
      <c r="C615" s="62" t="s">
        <v>2244</v>
      </c>
      <c r="D615" s="62" t="s">
        <v>2245</v>
      </c>
      <c r="E615" s="86" t="s">
        <v>2246</v>
      </c>
      <c r="G615" s="27"/>
      <c r="H615" s="101" t="str">
        <f t="shared" si="9"/>
        <v>NECOMPLETAT</v>
      </c>
      <c r="I615" s="4" t="s">
        <v>3183</v>
      </c>
      <c r="J615" s="4" t="s">
        <v>3182</v>
      </c>
      <c r="K615" s="4" t="s">
        <v>3183</v>
      </c>
      <c r="L615" s="4"/>
    </row>
    <row r="616" spans="1:12" ht="75" x14ac:dyDescent="0.25">
      <c r="A616" s="52">
        <v>610</v>
      </c>
      <c r="B616" s="8" t="s">
        <v>2247</v>
      </c>
      <c r="C616" s="62" t="s">
        <v>2244</v>
      </c>
      <c r="D616" s="62" t="s">
        <v>2245</v>
      </c>
      <c r="E616" s="86" t="s">
        <v>2246</v>
      </c>
      <c r="G616" s="27"/>
      <c r="H616" s="101" t="str">
        <f t="shared" si="9"/>
        <v>NECOMPLETAT</v>
      </c>
      <c r="I616" s="4" t="s">
        <v>3183</v>
      </c>
      <c r="J616" s="4" t="s">
        <v>3183</v>
      </c>
      <c r="K616" s="4" t="s">
        <v>3180</v>
      </c>
      <c r="L616" s="4"/>
    </row>
    <row r="617" spans="1:12" ht="75" x14ac:dyDescent="0.25">
      <c r="A617" s="52">
        <v>611</v>
      </c>
      <c r="B617" s="8" t="s">
        <v>2248</v>
      </c>
      <c r="C617" s="62" t="s">
        <v>2244</v>
      </c>
      <c r="D617" s="62" t="s">
        <v>2245</v>
      </c>
      <c r="E617" s="86" t="s">
        <v>2246</v>
      </c>
      <c r="G617" s="27"/>
      <c r="H617" s="101" t="str">
        <f t="shared" si="9"/>
        <v>NECOMPLETAT</v>
      </c>
      <c r="I617" s="4" t="s">
        <v>3181</v>
      </c>
      <c r="J617" s="4" t="s">
        <v>3183</v>
      </c>
      <c r="K617" s="4" t="s">
        <v>3183</v>
      </c>
      <c r="L617" s="4"/>
    </row>
    <row r="618" spans="1:12" ht="30" x14ac:dyDescent="0.25">
      <c r="A618" s="52">
        <v>612</v>
      </c>
      <c r="B618" s="8" t="s">
        <v>2249</v>
      </c>
      <c r="C618" s="64" t="s">
        <v>2250</v>
      </c>
      <c r="D618" s="64" t="s">
        <v>2251</v>
      </c>
      <c r="E618" s="88" t="s">
        <v>2252</v>
      </c>
      <c r="G618" s="27"/>
      <c r="H618" s="101" t="str">
        <f t="shared" si="9"/>
        <v>NECOMPLETAT</v>
      </c>
      <c r="I618" s="4" t="s">
        <v>3181</v>
      </c>
      <c r="J618" s="4" t="s">
        <v>3183</v>
      </c>
      <c r="K618" s="4" t="s">
        <v>3183</v>
      </c>
      <c r="L618" s="4"/>
    </row>
    <row r="619" spans="1:12" ht="60" x14ac:dyDescent="0.25">
      <c r="A619" s="52">
        <v>613</v>
      </c>
      <c r="B619" s="8" t="s">
        <v>2253</v>
      </c>
      <c r="C619" s="62" t="s">
        <v>2254</v>
      </c>
      <c r="D619" s="62" t="s">
        <v>2255</v>
      </c>
      <c r="E619" s="86" t="s">
        <v>2256</v>
      </c>
      <c r="G619" s="27"/>
      <c r="H619" s="101" t="str">
        <f t="shared" si="9"/>
        <v>NECOMPLETAT</v>
      </c>
      <c r="I619" s="4" t="s">
        <v>3183</v>
      </c>
      <c r="J619" s="4" t="s">
        <v>3182</v>
      </c>
      <c r="K619" s="4" t="s">
        <v>3183</v>
      </c>
      <c r="L619" s="4"/>
    </row>
    <row r="620" spans="1:12" ht="45" x14ac:dyDescent="0.25">
      <c r="A620" s="52">
        <v>614</v>
      </c>
      <c r="B620" s="8" t="s">
        <v>2257</v>
      </c>
      <c r="C620" s="62" t="s">
        <v>2258</v>
      </c>
      <c r="D620" s="62" t="s">
        <v>2259</v>
      </c>
      <c r="E620" s="86" t="s">
        <v>2260</v>
      </c>
      <c r="G620" s="27"/>
      <c r="H620" s="101" t="str">
        <f t="shared" si="9"/>
        <v>NECOMPLETAT</v>
      </c>
      <c r="I620" s="4" t="s">
        <v>3183</v>
      </c>
      <c r="J620" s="4" t="s">
        <v>3182</v>
      </c>
      <c r="K620" s="4" t="s">
        <v>3183</v>
      </c>
      <c r="L620" s="4"/>
    </row>
    <row r="621" spans="1:12" ht="45" x14ac:dyDescent="0.25">
      <c r="A621" s="52">
        <v>615</v>
      </c>
      <c r="B621" s="8" t="s">
        <v>2261</v>
      </c>
      <c r="C621" s="62" t="s">
        <v>2262</v>
      </c>
      <c r="D621" s="62" t="s">
        <v>2263</v>
      </c>
      <c r="E621" s="86" t="s">
        <v>2264</v>
      </c>
      <c r="G621" s="27"/>
      <c r="H621" s="101" t="str">
        <f t="shared" si="9"/>
        <v>NECOMPLETAT</v>
      </c>
      <c r="I621" s="4" t="s">
        <v>3183</v>
      </c>
      <c r="J621" s="4" t="s">
        <v>3183</v>
      </c>
      <c r="K621" s="4" t="s">
        <v>3180</v>
      </c>
      <c r="L621" s="4"/>
    </row>
    <row r="622" spans="1:12" ht="75" x14ac:dyDescent="0.25">
      <c r="A622" s="52">
        <v>616</v>
      </c>
      <c r="B622" s="8" t="s">
        <v>2265</v>
      </c>
      <c r="C622" s="62" t="s">
        <v>2266</v>
      </c>
      <c r="D622" s="62" t="s">
        <v>2267</v>
      </c>
      <c r="E622" s="86" t="s">
        <v>2268</v>
      </c>
      <c r="G622" s="27"/>
      <c r="H622" s="101" t="str">
        <f t="shared" si="9"/>
        <v>NECOMPLETAT</v>
      </c>
      <c r="I622" s="4" t="s">
        <v>3181</v>
      </c>
      <c r="J622" s="4" t="s">
        <v>3183</v>
      </c>
      <c r="K622" s="4" t="s">
        <v>3183</v>
      </c>
      <c r="L622" s="4"/>
    </row>
    <row r="623" spans="1:12" ht="78" x14ac:dyDescent="0.25">
      <c r="A623" s="52">
        <v>617</v>
      </c>
      <c r="B623" s="8" t="s">
        <v>2269</v>
      </c>
      <c r="C623" s="62" t="s">
        <v>1390</v>
      </c>
      <c r="D623" s="62" t="s">
        <v>1118</v>
      </c>
      <c r="E623" s="86" t="s">
        <v>2270</v>
      </c>
      <c r="G623" s="27"/>
      <c r="H623" s="101" t="str">
        <f t="shared" si="9"/>
        <v>NECOMPLETAT</v>
      </c>
      <c r="I623" s="4" t="s">
        <v>3183</v>
      </c>
      <c r="J623" s="4" t="s">
        <v>3182</v>
      </c>
      <c r="K623" s="4" t="s">
        <v>3183</v>
      </c>
      <c r="L623" s="4"/>
    </row>
    <row r="624" spans="1:12" ht="60" x14ac:dyDescent="0.25">
      <c r="A624" s="52">
        <v>618</v>
      </c>
      <c r="B624" s="8" t="s">
        <v>2271</v>
      </c>
      <c r="C624" s="62" t="s">
        <v>2272</v>
      </c>
      <c r="D624" s="62" t="s">
        <v>2273</v>
      </c>
      <c r="E624" s="86" t="s">
        <v>2274</v>
      </c>
      <c r="G624" s="27"/>
      <c r="H624" s="101" t="str">
        <f t="shared" si="9"/>
        <v>NECOMPLETAT</v>
      </c>
      <c r="I624" s="4" t="s">
        <v>3183</v>
      </c>
      <c r="J624" s="4" t="s">
        <v>3183</v>
      </c>
      <c r="K624" s="4" t="s">
        <v>3180</v>
      </c>
      <c r="L624" s="4"/>
    </row>
    <row r="625" spans="1:12" ht="90" x14ac:dyDescent="0.25">
      <c r="A625" s="52">
        <v>619</v>
      </c>
      <c r="B625" s="8" t="s">
        <v>2275</v>
      </c>
      <c r="C625" s="62" t="s">
        <v>2276</v>
      </c>
      <c r="D625" s="62" t="s">
        <v>2277</v>
      </c>
      <c r="E625" s="86" t="s">
        <v>2278</v>
      </c>
      <c r="G625" s="27"/>
      <c r="H625" s="101" t="str">
        <f t="shared" si="9"/>
        <v>NECOMPLETAT</v>
      </c>
      <c r="I625" s="4" t="s">
        <v>3183</v>
      </c>
      <c r="J625" s="4" t="s">
        <v>3182</v>
      </c>
      <c r="K625" s="4" t="s">
        <v>3183</v>
      </c>
      <c r="L625" s="4"/>
    </row>
    <row r="626" spans="1:12" ht="30" x14ac:dyDescent="0.25">
      <c r="A626" s="52">
        <v>620</v>
      </c>
      <c r="B626" s="8" t="s">
        <v>2279</v>
      </c>
      <c r="C626" s="62" t="s">
        <v>2280</v>
      </c>
      <c r="D626" s="62" t="s">
        <v>2281</v>
      </c>
      <c r="E626" s="86" t="s">
        <v>2282</v>
      </c>
      <c r="G626" s="27"/>
      <c r="H626" s="101" t="str">
        <f t="shared" si="9"/>
        <v>NECOMPLETAT</v>
      </c>
      <c r="I626" s="4" t="s">
        <v>3183</v>
      </c>
      <c r="J626" s="4" t="s">
        <v>3182</v>
      </c>
      <c r="K626" s="4" t="s">
        <v>3183</v>
      </c>
      <c r="L626" s="4"/>
    </row>
    <row r="627" spans="1:12" ht="45" x14ac:dyDescent="0.25">
      <c r="A627" s="52">
        <v>621</v>
      </c>
      <c r="B627" s="15" t="s">
        <v>2283</v>
      </c>
      <c r="C627" s="62" t="s">
        <v>2284</v>
      </c>
      <c r="D627" s="62" t="s">
        <v>2285</v>
      </c>
      <c r="E627" s="86" t="s">
        <v>2286</v>
      </c>
      <c r="G627" s="27"/>
      <c r="H627" s="101" t="str">
        <f t="shared" si="9"/>
        <v>NECOMPLETAT</v>
      </c>
      <c r="I627" s="4" t="s">
        <v>3183</v>
      </c>
      <c r="J627" s="4" t="s">
        <v>3183</v>
      </c>
      <c r="K627" s="4" t="s">
        <v>3180</v>
      </c>
      <c r="L627" s="4"/>
    </row>
    <row r="628" spans="1:12" ht="45" x14ac:dyDescent="0.25">
      <c r="A628" s="52">
        <v>622</v>
      </c>
      <c r="B628" s="8" t="s">
        <v>2283</v>
      </c>
      <c r="C628" s="62" t="s">
        <v>1366</v>
      </c>
      <c r="D628" s="62" t="s">
        <v>2285</v>
      </c>
      <c r="E628" s="86" t="s">
        <v>2287</v>
      </c>
      <c r="G628" s="27"/>
      <c r="H628" s="101" t="str">
        <f t="shared" si="9"/>
        <v>NECOMPLETAT</v>
      </c>
      <c r="I628" s="4" t="s">
        <v>3181</v>
      </c>
      <c r="J628" s="4" t="s">
        <v>3183</v>
      </c>
      <c r="K628" s="4" t="s">
        <v>3183</v>
      </c>
      <c r="L628" s="4"/>
    </row>
    <row r="629" spans="1:12" ht="30" x14ac:dyDescent="0.25">
      <c r="A629" s="52">
        <v>623</v>
      </c>
      <c r="B629" s="8" t="s">
        <v>2288</v>
      </c>
      <c r="C629" s="62" t="s">
        <v>1366</v>
      </c>
      <c r="D629" s="62" t="s">
        <v>2285</v>
      </c>
      <c r="E629" s="86" t="s">
        <v>2286</v>
      </c>
      <c r="G629" s="27"/>
      <c r="H629" s="101" t="str">
        <f t="shared" si="9"/>
        <v>NECOMPLETAT</v>
      </c>
      <c r="I629" s="4" t="s">
        <v>3183</v>
      </c>
      <c r="J629" s="4" t="s">
        <v>3182</v>
      </c>
      <c r="K629" s="4" t="s">
        <v>3183</v>
      </c>
      <c r="L629" s="4"/>
    </row>
    <row r="630" spans="1:12" ht="45" x14ac:dyDescent="0.25">
      <c r="A630" s="52">
        <v>624</v>
      </c>
      <c r="B630" s="8" t="s">
        <v>2289</v>
      </c>
      <c r="C630" s="62" t="s">
        <v>2290</v>
      </c>
      <c r="D630" s="62" t="s">
        <v>2291</v>
      </c>
      <c r="E630" s="86" t="s">
        <v>2292</v>
      </c>
      <c r="G630" s="27"/>
      <c r="H630" s="101" t="str">
        <f t="shared" si="9"/>
        <v>NECOMPLETAT</v>
      </c>
      <c r="I630" s="4" t="s">
        <v>3181</v>
      </c>
      <c r="J630" s="4" t="s">
        <v>3183</v>
      </c>
      <c r="K630" s="4" t="s">
        <v>3183</v>
      </c>
      <c r="L630" s="4"/>
    </row>
    <row r="631" spans="1:12" ht="45" x14ac:dyDescent="0.25">
      <c r="A631" s="52">
        <v>625</v>
      </c>
      <c r="B631" s="8" t="s">
        <v>2293</v>
      </c>
      <c r="C631" s="62" t="s">
        <v>2294</v>
      </c>
      <c r="D631" s="62" t="s">
        <v>2295</v>
      </c>
      <c r="E631" s="86" t="s">
        <v>1638</v>
      </c>
      <c r="G631" s="27"/>
      <c r="H631" s="101" t="str">
        <f t="shared" si="9"/>
        <v>NECOMPLETAT</v>
      </c>
      <c r="I631" s="4" t="s">
        <v>3181</v>
      </c>
      <c r="J631" s="4" t="s">
        <v>3183</v>
      </c>
      <c r="K631" s="4" t="s">
        <v>3183</v>
      </c>
      <c r="L631" s="4"/>
    </row>
    <row r="632" spans="1:12" ht="45" x14ac:dyDescent="0.25">
      <c r="A632" s="52">
        <v>626</v>
      </c>
      <c r="B632" s="8" t="s">
        <v>2296</v>
      </c>
      <c r="C632" s="65" t="s">
        <v>2297</v>
      </c>
      <c r="D632" s="65" t="s">
        <v>2298</v>
      </c>
      <c r="E632" s="86" t="s">
        <v>2299</v>
      </c>
      <c r="G632" s="27"/>
      <c r="H632" s="101" t="str">
        <f t="shared" si="9"/>
        <v>NECOMPLETAT</v>
      </c>
      <c r="I632" s="4" t="s">
        <v>3181</v>
      </c>
      <c r="J632" s="4" t="s">
        <v>3183</v>
      </c>
      <c r="K632" s="4" t="s">
        <v>3183</v>
      </c>
      <c r="L632" s="4"/>
    </row>
    <row r="633" spans="1:12" ht="45" x14ac:dyDescent="0.25">
      <c r="A633" s="52">
        <v>627</v>
      </c>
      <c r="B633" s="8" t="s">
        <v>2300</v>
      </c>
      <c r="C633" s="62" t="s">
        <v>2301</v>
      </c>
      <c r="D633" s="62" t="s">
        <v>2302</v>
      </c>
      <c r="E633" s="86" t="s">
        <v>2303</v>
      </c>
      <c r="G633" s="27"/>
      <c r="H633" s="101" t="str">
        <f t="shared" si="9"/>
        <v>NECOMPLETAT</v>
      </c>
      <c r="I633" s="4" t="s">
        <v>3181</v>
      </c>
      <c r="J633" s="4" t="s">
        <v>3183</v>
      </c>
      <c r="K633" s="4" t="s">
        <v>3183</v>
      </c>
      <c r="L633" s="4"/>
    </row>
    <row r="634" spans="1:12" ht="45" x14ac:dyDescent="0.25">
      <c r="A634" s="52">
        <v>628</v>
      </c>
      <c r="B634" s="8" t="s">
        <v>2304</v>
      </c>
      <c r="C634" s="69" t="s">
        <v>2305</v>
      </c>
      <c r="D634" s="62" t="s">
        <v>2306</v>
      </c>
      <c r="E634" s="86" t="s">
        <v>2303</v>
      </c>
      <c r="G634" s="27"/>
      <c r="H634" s="101" t="str">
        <f t="shared" si="9"/>
        <v>NECOMPLETAT</v>
      </c>
      <c r="I634" s="4" t="s">
        <v>3181</v>
      </c>
      <c r="J634" s="4" t="s">
        <v>3183</v>
      </c>
      <c r="K634" s="4" t="s">
        <v>3183</v>
      </c>
      <c r="L634" s="4"/>
    </row>
    <row r="635" spans="1:12" ht="60" x14ac:dyDescent="0.25">
      <c r="A635" s="52">
        <v>629</v>
      </c>
      <c r="B635" s="8" t="s">
        <v>2307</v>
      </c>
      <c r="C635" s="62" t="s">
        <v>2308</v>
      </c>
      <c r="D635" s="62" t="s">
        <v>2309</v>
      </c>
      <c r="E635" s="86" t="s">
        <v>2310</v>
      </c>
      <c r="G635" s="27"/>
      <c r="H635" s="101" t="str">
        <f t="shared" si="9"/>
        <v>NECOMPLETAT</v>
      </c>
      <c r="I635" s="4" t="s">
        <v>3183</v>
      </c>
      <c r="J635" s="4" t="s">
        <v>3183</v>
      </c>
      <c r="K635" s="4" t="s">
        <v>3180</v>
      </c>
      <c r="L635" s="4"/>
    </row>
    <row r="636" spans="1:12" ht="113.45" customHeight="1" x14ac:dyDescent="0.25">
      <c r="A636" s="52">
        <v>630</v>
      </c>
      <c r="B636" s="8" t="s">
        <v>2311</v>
      </c>
      <c r="C636" s="62" t="s">
        <v>2312</v>
      </c>
      <c r="D636" s="70" t="s">
        <v>2313</v>
      </c>
      <c r="E636" s="94" t="s">
        <v>2314</v>
      </c>
      <c r="G636" s="27"/>
      <c r="H636" s="101" t="str">
        <f t="shared" si="9"/>
        <v>NECOMPLETAT</v>
      </c>
      <c r="I636" s="4" t="s">
        <v>3183</v>
      </c>
      <c r="J636" s="4" t="s">
        <v>3183</v>
      </c>
      <c r="K636" s="4" t="s">
        <v>3180</v>
      </c>
      <c r="L636" s="4"/>
    </row>
    <row r="637" spans="1:12" ht="90" x14ac:dyDescent="0.25">
      <c r="A637" s="52">
        <v>631</v>
      </c>
      <c r="B637" s="8" t="s">
        <v>2315</v>
      </c>
      <c r="C637" s="62" t="s">
        <v>2316</v>
      </c>
      <c r="D637" s="70" t="s">
        <v>2317</v>
      </c>
      <c r="E637" s="86" t="s">
        <v>2318</v>
      </c>
      <c r="G637" s="27"/>
      <c r="H637" s="101" t="str">
        <f t="shared" si="9"/>
        <v>NECOMPLETAT</v>
      </c>
      <c r="I637" s="4" t="s">
        <v>3183</v>
      </c>
      <c r="J637" s="4" t="s">
        <v>3182</v>
      </c>
      <c r="K637" s="4" t="s">
        <v>3183</v>
      </c>
      <c r="L637" s="4"/>
    </row>
    <row r="638" spans="1:12" ht="45" x14ac:dyDescent="0.25">
      <c r="A638" s="52">
        <v>632</v>
      </c>
      <c r="B638" s="16" t="s">
        <v>2319</v>
      </c>
      <c r="C638" s="62" t="s">
        <v>2320</v>
      </c>
      <c r="D638" s="65" t="s">
        <v>2321</v>
      </c>
      <c r="E638" s="89" t="s">
        <v>2322</v>
      </c>
      <c r="G638" s="27"/>
      <c r="H638" s="101" t="str">
        <f t="shared" si="9"/>
        <v>NECOMPLETAT</v>
      </c>
      <c r="I638" s="4" t="s">
        <v>3183</v>
      </c>
      <c r="J638" s="4" t="s">
        <v>3182</v>
      </c>
      <c r="K638" s="4" t="s">
        <v>3183</v>
      </c>
      <c r="L638" s="4"/>
    </row>
    <row r="639" spans="1:12" ht="30" x14ac:dyDescent="0.25">
      <c r="A639" s="52">
        <v>633</v>
      </c>
      <c r="B639" s="15" t="s">
        <v>2323</v>
      </c>
      <c r="C639" s="62" t="s">
        <v>2324</v>
      </c>
      <c r="D639" s="62" t="s">
        <v>2325</v>
      </c>
      <c r="E639" s="86" t="s">
        <v>2326</v>
      </c>
      <c r="G639" s="27"/>
      <c r="H639" s="101" t="str">
        <f t="shared" si="9"/>
        <v>NECOMPLETAT</v>
      </c>
      <c r="I639" s="4" t="s">
        <v>3183</v>
      </c>
      <c r="J639" s="4" t="s">
        <v>3182</v>
      </c>
      <c r="K639" s="4" t="s">
        <v>3183</v>
      </c>
      <c r="L639" s="4"/>
    </row>
    <row r="640" spans="1:12" ht="30" x14ac:dyDescent="0.25">
      <c r="A640" s="52">
        <v>634</v>
      </c>
      <c r="B640" s="8" t="s">
        <v>2323</v>
      </c>
      <c r="C640" s="62" t="s">
        <v>2324</v>
      </c>
      <c r="D640" s="62" t="s">
        <v>2327</v>
      </c>
      <c r="E640" s="86" t="s">
        <v>2328</v>
      </c>
      <c r="G640" s="27"/>
      <c r="H640" s="101" t="str">
        <f t="shared" si="9"/>
        <v>NECOMPLETAT</v>
      </c>
      <c r="I640" s="4" t="s">
        <v>3183</v>
      </c>
      <c r="J640" s="4" t="s">
        <v>3183</v>
      </c>
      <c r="K640" s="4" t="s">
        <v>3180</v>
      </c>
      <c r="L640" s="4"/>
    </row>
    <row r="641" spans="1:12" ht="30" x14ac:dyDescent="0.25">
      <c r="A641" s="52">
        <v>635</v>
      </c>
      <c r="B641" s="8" t="s">
        <v>2329</v>
      </c>
      <c r="C641" s="62" t="s">
        <v>2330</v>
      </c>
      <c r="D641" s="62" t="s">
        <v>2331</v>
      </c>
      <c r="E641" s="86" t="s">
        <v>2332</v>
      </c>
      <c r="G641" s="27"/>
      <c r="H641" s="101" t="str">
        <f t="shared" si="9"/>
        <v>NECOMPLETAT</v>
      </c>
      <c r="I641" s="4" t="s">
        <v>3183</v>
      </c>
      <c r="J641" s="4" t="s">
        <v>3182</v>
      </c>
      <c r="K641" s="4" t="s">
        <v>3183</v>
      </c>
      <c r="L641" s="4"/>
    </row>
    <row r="642" spans="1:12" ht="45" x14ac:dyDescent="0.25">
      <c r="A642" s="52">
        <v>636</v>
      </c>
      <c r="B642" s="8" t="s">
        <v>2333</v>
      </c>
      <c r="C642" s="62" t="s">
        <v>2334</v>
      </c>
      <c r="D642" s="62" t="s">
        <v>2335</v>
      </c>
      <c r="E642" s="86" t="s">
        <v>2336</v>
      </c>
      <c r="G642" s="27"/>
      <c r="H642" s="101" t="str">
        <f t="shared" si="9"/>
        <v>NECOMPLETAT</v>
      </c>
      <c r="I642" s="4" t="s">
        <v>3181</v>
      </c>
      <c r="J642" s="4" t="s">
        <v>3183</v>
      </c>
      <c r="K642" s="4" t="s">
        <v>3183</v>
      </c>
      <c r="L642" s="4"/>
    </row>
    <row r="643" spans="1:12" ht="30" x14ac:dyDescent="0.25">
      <c r="A643" s="52">
        <v>637</v>
      </c>
      <c r="B643" s="8" t="s">
        <v>2337</v>
      </c>
      <c r="C643" s="62" t="s">
        <v>2338</v>
      </c>
      <c r="D643" s="62" t="s">
        <v>2339</v>
      </c>
      <c r="E643" s="86" t="s">
        <v>2340</v>
      </c>
      <c r="G643" s="27"/>
      <c r="H643" s="101" t="str">
        <f t="shared" si="9"/>
        <v>NECOMPLETAT</v>
      </c>
      <c r="I643" s="4" t="s">
        <v>3183</v>
      </c>
      <c r="J643" s="4" t="s">
        <v>3182</v>
      </c>
      <c r="K643" s="4" t="s">
        <v>3183</v>
      </c>
      <c r="L643" s="4"/>
    </row>
    <row r="644" spans="1:12" ht="60" x14ac:dyDescent="0.25">
      <c r="A644" s="52">
        <v>638</v>
      </c>
      <c r="B644" s="8" t="s">
        <v>2341</v>
      </c>
      <c r="C644" s="62" t="s">
        <v>2342</v>
      </c>
      <c r="D644" s="62" t="s">
        <v>2343</v>
      </c>
      <c r="E644" s="86" t="s">
        <v>2344</v>
      </c>
      <c r="G644" s="27"/>
      <c r="H644" s="101" t="str">
        <f t="shared" si="9"/>
        <v>NECOMPLETAT</v>
      </c>
      <c r="I644" s="4" t="s">
        <v>3183</v>
      </c>
      <c r="J644" s="4" t="s">
        <v>3182</v>
      </c>
      <c r="K644" s="4" t="s">
        <v>3183</v>
      </c>
      <c r="L644" s="4"/>
    </row>
    <row r="645" spans="1:12" ht="75" x14ac:dyDescent="0.25">
      <c r="A645" s="52">
        <v>639</v>
      </c>
      <c r="B645" s="8" t="s">
        <v>2345</v>
      </c>
      <c r="C645" s="62" t="s">
        <v>2346</v>
      </c>
      <c r="D645" s="62" t="s">
        <v>2347</v>
      </c>
      <c r="E645" s="86" t="s">
        <v>2348</v>
      </c>
      <c r="G645" s="27"/>
      <c r="H645" s="101" t="str">
        <f t="shared" si="9"/>
        <v>NECOMPLETAT</v>
      </c>
      <c r="I645" s="4" t="s">
        <v>3181</v>
      </c>
      <c r="J645" s="4" t="s">
        <v>3183</v>
      </c>
      <c r="K645" s="4" t="s">
        <v>3183</v>
      </c>
      <c r="L645" s="4"/>
    </row>
    <row r="646" spans="1:12" ht="45" x14ac:dyDescent="0.25">
      <c r="A646" s="52">
        <v>640</v>
      </c>
      <c r="B646" s="8" t="s">
        <v>2349</v>
      </c>
      <c r="C646" s="62" t="s">
        <v>2350</v>
      </c>
      <c r="D646" s="62" t="s">
        <v>2351</v>
      </c>
      <c r="E646" s="86" t="s">
        <v>2352</v>
      </c>
      <c r="G646" s="27"/>
      <c r="H646" s="101" t="str">
        <f t="shared" si="9"/>
        <v>NECOMPLETAT</v>
      </c>
      <c r="I646" s="4" t="s">
        <v>3181</v>
      </c>
      <c r="J646" s="4" t="s">
        <v>3183</v>
      </c>
      <c r="K646" s="4" t="s">
        <v>3183</v>
      </c>
      <c r="L646" s="4"/>
    </row>
    <row r="647" spans="1:12" ht="45" x14ac:dyDescent="0.25">
      <c r="A647" s="52">
        <v>641</v>
      </c>
      <c r="B647" s="8" t="s">
        <v>2353</v>
      </c>
      <c r="C647" s="65" t="s">
        <v>1629</v>
      </c>
      <c r="D647" s="65" t="s">
        <v>2354</v>
      </c>
      <c r="E647" s="89" t="s">
        <v>1630</v>
      </c>
      <c r="G647" s="27"/>
      <c r="H647" s="101" t="str">
        <f t="shared" si="9"/>
        <v>NECOMPLETAT</v>
      </c>
      <c r="I647" s="4" t="s">
        <v>3183</v>
      </c>
      <c r="J647" s="4" t="s">
        <v>3183</v>
      </c>
      <c r="K647" s="4" t="s">
        <v>3180</v>
      </c>
      <c r="L647" s="4"/>
    </row>
    <row r="648" spans="1:12" ht="42" customHeight="1" x14ac:dyDescent="0.25">
      <c r="A648" s="52">
        <v>642</v>
      </c>
      <c r="B648" s="8" t="s">
        <v>2355</v>
      </c>
      <c r="C648" s="65" t="s">
        <v>2356</v>
      </c>
      <c r="D648" s="65" t="s">
        <v>2357</v>
      </c>
      <c r="E648" s="86" t="s">
        <v>2358</v>
      </c>
      <c r="G648" s="27"/>
      <c r="H648" s="101" t="str">
        <f t="shared" ref="H648:H711" si="10">IF(G648=0,"NECOMPLETAT",IF(OR(G648=I648,G648=J648,G648=K648),"CORECT","GRESIT"))</f>
        <v>NECOMPLETAT</v>
      </c>
      <c r="I648" s="4" t="s">
        <v>3183</v>
      </c>
      <c r="J648" s="4" t="s">
        <v>3183</v>
      </c>
      <c r="K648" s="4" t="s">
        <v>3180</v>
      </c>
      <c r="L648" s="4"/>
    </row>
    <row r="649" spans="1:12" ht="60" x14ac:dyDescent="0.25">
      <c r="A649" s="52">
        <v>643</v>
      </c>
      <c r="B649" s="16" t="s">
        <v>2359</v>
      </c>
      <c r="C649" s="62" t="s">
        <v>2360</v>
      </c>
      <c r="D649" s="62" t="s">
        <v>2361</v>
      </c>
      <c r="E649" s="86" t="s">
        <v>2362</v>
      </c>
      <c r="G649" s="27"/>
      <c r="H649" s="101" t="str">
        <f t="shared" si="10"/>
        <v>NECOMPLETAT</v>
      </c>
      <c r="I649" s="4" t="s">
        <v>3183</v>
      </c>
      <c r="J649" s="4" t="s">
        <v>3183</v>
      </c>
      <c r="K649" s="4" t="s">
        <v>3180</v>
      </c>
      <c r="L649" s="4"/>
    </row>
    <row r="650" spans="1:12" ht="30" x14ac:dyDescent="0.25">
      <c r="A650" s="52">
        <v>644</v>
      </c>
      <c r="B650" s="8" t="s">
        <v>2363</v>
      </c>
      <c r="C650" s="62" t="s">
        <v>2364</v>
      </c>
      <c r="D650" s="62" t="s">
        <v>2365</v>
      </c>
      <c r="E650" s="86" t="s">
        <v>2366</v>
      </c>
      <c r="G650" s="27"/>
      <c r="H650" s="101" t="str">
        <f t="shared" si="10"/>
        <v>NECOMPLETAT</v>
      </c>
      <c r="I650" s="4" t="s">
        <v>3181</v>
      </c>
      <c r="J650" s="4" t="s">
        <v>3183</v>
      </c>
      <c r="K650" s="4" t="s">
        <v>3183</v>
      </c>
      <c r="L650" s="4"/>
    </row>
    <row r="651" spans="1:12" ht="30" x14ac:dyDescent="0.25">
      <c r="A651" s="52">
        <v>645</v>
      </c>
      <c r="B651" s="16" t="s">
        <v>2367</v>
      </c>
      <c r="C651" s="65" t="s">
        <v>2368</v>
      </c>
      <c r="D651" s="65" t="s">
        <v>2369</v>
      </c>
      <c r="E651" s="86" t="s">
        <v>2370</v>
      </c>
      <c r="G651" s="27"/>
      <c r="H651" s="101" t="str">
        <f t="shared" si="10"/>
        <v>NECOMPLETAT</v>
      </c>
      <c r="I651" s="4" t="s">
        <v>3183</v>
      </c>
      <c r="J651" s="4" t="s">
        <v>3182</v>
      </c>
      <c r="K651" s="4" t="s">
        <v>3183</v>
      </c>
      <c r="L651" s="4"/>
    </row>
    <row r="652" spans="1:12" ht="90" x14ac:dyDescent="0.25">
      <c r="A652" s="52">
        <v>646</v>
      </c>
      <c r="B652" s="8" t="s">
        <v>2371</v>
      </c>
      <c r="C652" s="62" t="s">
        <v>2372</v>
      </c>
      <c r="D652" s="62" t="s">
        <v>2373</v>
      </c>
      <c r="E652" s="86" t="s">
        <v>2374</v>
      </c>
      <c r="G652" s="27"/>
      <c r="H652" s="101" t="str">
        <f t="shared" si="10"/>
        <v>NECOMPLETAT</v>
      </c>
      <c r="I652" s="4" t="s">
        <v>3181</v>
      </c>
      <c r="J652" s="4" t="s">
        <v>3183</v>
      </c>
      <c r="K652" s="4" t="s">
        <v>3183</v>
      </c>
      <c r="L652" s="4"/>
    </row>
    <row r="653" spans="1:12" ht="135" x14ac:dyDescent="0.25">
      <c r="A653" s="52">
        <v>647</v>
      </c>
      <c r="B653" s="8" t="s">
        <v>2375</v>
      </c>
      <c r="C653" s="62" t="s">
        <v>2376</v>
      </c>
      <c r="D653" s="62" t="s">
        <v>2377</v>
      </c>
      <c r="E653" s="86" t="s">
        <v>2378</v>
      </c>
      <c r="G653" s="27"/>
      <c r="H653" s="101" t="str">
        <f t="shared" si="10"/>
        <v>NECOMPLETAT</v>
      </c>
      <c r="I653" s="4" t="s">
        <v>3183</v>
      </c>
      <c r="J653" s="4" t="s">
        <v>3182</v>
      </c>
      <c r="K653" s="4" t="s">
        <v>3183</v>
      </c>
      <c r="L653" s="4"/>
    </row>
    <row r="654" spans="1:12" ht="60" x14ac:dyDescent="0.25">
      <c r="A654" s="52">
        <v>648</v>
      </c>
      <c r="B654" s="8" t="s">
        <v>2379</v>
      </c>
      <c r="C654" s="62" t="s">
        <v>2380</v>
      </c>
      <c r="D654" s="62" t="s">
        <v>2381</v>
      </c>
      <c r="E654" s="86" t="s">
        <v>2382</v>
      </c>
      <c r="G654" s="27"/>
      <c r="H654" s="101" t="str">
        <f t="shared" si="10"/>
        <v>NECOMPLETAT</v>
      </c>
      <c r="I654" s="4" t="s">
        <v>3181</v>
      </c>
      <c r="J654" s="4" t="s">
        <v>3183</v>
      </c>
      <c r="K654" s="4" t="s">
        <v>3183</v>
      </c>
      <c r="L654" s="4"/>
    </row>
    <row r="655" spans="1:12" ht="90" x14ac:dyDescent="0.25">
      <c r="A655" s="52">
        <v>649</v>
      </c>
      <c r="B655" s="8" t="s">
        <v>2383</v>
      </c>
      <c r="C655" s="62" t="s">
        <v>1061</v>
      </c>
      <c r="D655" s="62" t="s">
        <v>2384</v>
      </c>
      <c r="E655" s="86" t="s">
        <v>2385</v>
      </c>
      <c r="G655" s="27"/>
      <c r="H655" s="101" t="str">
        <f t="shared" si="10"/>
        <v>NECOMPLETAT</v>
      </c>
      <c r="I655" s="4" t="s">
        <v>3183</v>
      </c>
      <c r="J655" s="4" t="s">
        <v>3183</v>
      </c>
      <c r="K655" s="4" t="s">
        <v>3180</v>
      </c>
      <c r="L655" s="4"/>
    </row>
    <row r="656" spans="1:12" ht="60" x14ac:dyDescent="0.25">
      <c r="A656" s="52">
        <v>650</v>
      </c>
      <c r="B656" s="8" t="s">
        <v>2386</v>
      </c>
      <c r="C656" s="62" t="s">
        <v>2387</v>
      </c>
      <c r="D656" s="62" t="s">
        <v>2388</v>
      </c>
      <c r="E656" s="86" t="s">
        <v>2389</v>
      </c>
      <c r="G656" s="27"/>
      <c r="H656" s="101" t="str">
        <f t="shared" si="10"/>
        <v>NECOMPLETAT</v>
      </c>
      <c r="I656" s="4" t="s">
        <v>3183</v>
      </c>
      <c r="J656" s="4" t="s">
        <v>3182</v>
      </c>
      <c r="K656" s="4" t="s">
        <v>3183</v>
      </c>
      <c r="L656" s="4"/>
    </row>
    <row r="657" spans="1:12" ht="30" x14ac:dyDescent="0.25">
      <c r="A657" s="52">
        <v>651</v>
      </c>
      <c r="B657" s="8" t="s">
        <v>2390</v>
      </c>
      <c r="C657" s="62" t="s">
        <v>2391</v>
      </c>
      <c r="D657" s="62" t="s">
        <v>2392</v>
      </c>
      <c r="E657" s="86" t="s">
        <v>2292</v>
      </c>
      <c r="G657" s="27"/>
      <c r="H657" s="101" t="str">
        <f t="shared" si="10"/>
        <v>NECOMPLETAT</v>
      </c>
      <c r="I657" s="4" t="s">
        <v>3183</v>
      </c>
      <c r="J657" s="4" t="s">
        <v>3182</v>
      </c>
      <c r="K657" s="4" t="s">
        <v>3183</v>
      </c>
      <c r="L657" s="4"/>
    </row>
    <row r="658" spans="1:12" ht="120" x14ac:dyDescent="0.25">
      <c r="A658" s="52">
        <v>652</v>
      </c>
      <c r="B658" s="8" t="s">
        <v>2393</v>
      </c>
      <c r="C658" s="69" t="s">
        <v>2394</v>
      </c>
      <c r="D658" s="69" t="s">
        <v>2395</v>
      </c>
      <c r="E658" s="92" t="s">
        <v>2396</v>
      </c>
      <c r="G658" s="27"/>
      <c r="H658" s="101" t="str">
        <f t="shared" si="10"/>
        <v>NECOMPLETAT</v>
      </c>
      <c r="I658" s="4" t="s">
        <v>3183</v>
      </c>
      <c r="J658" s="4" t="s">
        <v>3182</v>
      </c>
      <c r="K658" s="4" t="s">
        <v>3183</v>
      </c>
      <c r="L658" s="4"/>
    </row>
    <row r="659" spans="1:12" ht="45" x14ac:dyDescent="0.25">
      <c r="A659" s="52">
        <v>653</v>
      </c>
      <c r="B659" s="8" t="s">
        <v>2397</v>
      </c>
      <c r="C659" s="65" t="s">
        <v>2398</v>
      </c>
      <c r="D659" s="65" t="s">
        <v>2399</v>
      </c>
      <c r="E659" s="89" t="s">
        <v>2400</v>
      </c>
      <c r="G659" s="27"/>
      <c r="H659" s="101" t="str">
        <f t="shared" si="10"/>
        <v>NECOMPLETAT</v>
      </c>
      <c r="I659" s="4" t="s">
        <v>3183</v>
      </c>
      <c r="J659" s="4" t="s">
        <v>3182</v>
      </c>
      <c r="K659" s="4" t="s">
        <v>3183</v>
      </c>
      <c r="L659" s="4"/>
    </row>
    <row r="660" spans="1:12" ht="75" x14ac:dyDescent="0.25">
      <c r="A660" s="52">
        <v>654</v>
      </c>
      <c r="B660" s="8" t="s">
        <v>2401</v>
      </c>
      <c r="C660" s="62" t="s">
        <v>2402</v>
      </c>
      <c r="D660" s="62" t="s">
        <v>2403</v>
      </c>
      <c r="E660" s="86" t="s">
        <v>2404</v>
      </c>
      <c r="G660" s="27"/>
      <c r="H660" s="101" t="str">
        <f t="shared" si="10"/>
        <v>NECOMPLETAT</v>
      </c>
      <c r="I660" s="4" t="s">
        <v>3181</v>
      </c>
      <c r="J660" s="4" t="s">
        <v>3183</v>
      </c>
      <c r="K660" s="4" t="s">
        <v>3183</v>
      </c>
      <c r="L660" s="4"/>
    </row>
    <row r="661" spans="1:12" ht="60" x14ac:dyDescent="0.25">
      <c r="A661" s="52">
        <v>655</v>
      </c>
      <c r="B661" s="15" t="s">
        <v>2405</v>
      </c>
      <c r="C661" s="62" t="s">
        <v>2406</v>
      </c>
      <c r="D661" s="62" t="s">
        <v>2407</v>
      </c>
      <c r="E661" s="86" t="s">
        <v>2408</v>
      </c>
      <c r="G661" s="27"/>
      <c r="H661" s="101" t="str">
        <f t="shared" si="10"/>
        <v>NECOMPLETAT</v>
      </c>
      <c r="I661" s="4" t="s">
        <v>3183</v>
      </c>
      <c r="J661" s="4" t="s">
        <v>3182</v>
      </c>
      <c r="K661" s="4" t="s">
        <v>3183</v>
      </c>
      <c r="L661" s="4"/>
    </row>
    <row r="662" spans="1:12" ht="60" x14ac:dyDescent="0.25">
      <c r="A662" s="52">
        <v>656</v>
      </c>
      <c r="B662" s="8" t="s">
        <v>2405</v>
      </c>
      <c r="C662" s="62" t="s">
        <v>2409</v>
      </c>
      <c r="D662" s="62" t="s">
        <v>2410</v>
      </c>
      <c r="E662" s="86" t="s">
        <v>2408</v>
      </c>
      <c r="G662" s="27"/>
      <c r="H662" s="101" t="str">
        <f t="shared" si="10"/>
        <v>NECOMPLETAT</v>
      </c>
      <c r="I662" s="4" t="s">
        <v>3181</v>
      </c>
      <c r="J662" s="4" t="s">
        <v>3183</v>
      </c>
      <c r="K662" s="4" t="s">
        <v>3183</v>
      </c>
      <c r="L662" s="4"/>
    </row>
    <row r="663" spans="1:12" ht="75" x14ac:dyDescent="0.25">
      <c r="A663" s="52">
        <v>657</v>
      </c>
      <c r="B663" s="8" t="s">
        <v>2411</v>
      </c>
      <c r="C663" s="62" t="s">
        <v>2412</v>
      </c>
      <c r="D663" s="62" t="s">
        <v>2413</v>
      </c>
      <c r="E663" s="86" t="s">
        <v>2414</v>
      </c>
      <c r="G663" s="27"/>
      <c r="H663" s="101" t="str">
        <f t="shared" si="10"/>
        <v>NECOMPLETAT</v>
      </c>
      <c r="I663" s="4" t="s">
        <v>3181</v>
      </c>
      <c r="J663" s="4" t="s">
        <v>3183</v>
      </c>
      <c r="K663" s="4" t="s">
        <v>3183</v>
      </c>
      <c r="L663" s="4"/>
    </row>
    <row r="664" spans="1:12" ht="60" x14ac:dyDescent="0.25">
      <c r="A664" s="52">
        <v>658</v>
      </c>
      <c r="B664" s="8" t="s">
        <v>2415</v>
      </c>
      <c r="C664" s="62" t="s">
        <v>2416</v>
      </c>
      <c r="D664" s="62" t="s">
        <v>2417</v>
      </c>
      <c r="E664" s="86" t="s">
        <v>2418</v>
      </c>
      <c r="G664" s="27"/>
      <c r="H664" s="101" t="str">
        <f t="shared" si="10"/>
        <v>NECOMPLETAT</v>
      </c>
      <c r="I664" s="4" t="s">
        <v>3183</v>
      </c>
      <c r="J664" s="4" t="s">
        <v>3182</v>
      </c>
      <c r="K664" s="4" t="s">
        <v>3183</v>
      </c>
      <c r="L664" s="4"/>
    </row>
    <row r="665" spans="1:12" ht="75" x14ac:dyDescent="0.25">
      <c r="A665" s="52">
        <v>659</v>
      </c>
      <c r="B665" s="8" t="s">
        <v>2419</v>
      </c>
      <c r="C665" s="65" t="s">
        <v>2420</v>
      </c>
      <c r="D665" s="65" t="s">
        <v>2421</v>
      </c>
      <c r="E665" s="89" t="s">
        <v>2422</v>
      </c>
      <c r="G665" s="27"/>
      <c r="H665" s="101" t="str">
        <f t="shared" si="10"/>
        <v>NECOMPLETAT</v>
      </c>
      <c r="I665" s="4" t="s">
        <v>3183</v>
      </c>
      <c r="J665" s="4" t="s">
        <v>3182</v>
      </c>
      <c r="K665" s="4" t="s">
        <v>3183</v>
      </c>
      <c r="L665" s="4"/>
    </row>
    <row r="666" spans="1:12" ht="60" x14ac:dyDescent="0.25">
      <c r="A666" s="52">
        <v>660</v>
      </c>
      <c r="B666" s="8" t="s">
        <v>2423</v>
      </c>
      <c r="C666" s="62" t="s">
        <v>1648</v>
      </c>
      <c r="D666" s="62" t="s">
        <v>2092</v>
      </c>
      <c r="E666" s="86" t="s">
        <v>1160</v>
      </c>
      <c r="G666" s="27"/>
      <c r="H666" s="101" t="str">
        <f t="shared" si="10"/>
        <v>NECOMPLETAT</v>
      </c>
      <c r="I666" s="4" t="s">
        <v>3181</v>
      </c>
      <c r="J666" s="4" t="s">
        <v>3183</v>
      </c>
      <c r="K666" s="4" t="s">
        <v>3183</v>
      </c>
      <c r="L666" s="4"/>
    </row>
    <row r="667" spans="1:12" ht="45" x14ac:dyDescent="0.25">
      <c r="A667" s="52">
        <v>661</v>
      </c>
      <c r="B667" s="8" t="s">
        <v>2424</v>
      </c>
      <c r="C667" s="62" t="s">
        <v>2425</v>
      </c>
      <c r="D667" s="62" t="s">
        <v>2426</v>
      </c>
      <c r="E667" s="86" t="s">
        <v>2427</v>
      </c>
      <c r="G667" s="27"/>
      <c r="H667" s="101" t="str">
        <f t="shared" si="10"/>
        <v>NECOMPLETAT</v>
      </c>
      <c r="I667" s="4" t="s">
        <v>3181</v>
      </c>
      <c r="J667" s="4" t="s">
        <v>3183</v>
      </c>
      <c r="K667" s="4" t="s">
        <v>3183</v>
      </c>
      <c r="L667" s="4"/>
    </row>
    <row r="668" spans="1:12" ht="45" x14ac:dyDescent="0.25">
      <c r="A668" s="52">
        <v>662</v>
      </c>
      <c r="B668" s="16" t="s">
        <v>2428</v>
      </c>
      <c r="C668" s="65" t="s">
        <v>2429</v>
      </c>
      <c r="D668" s="65" t="s">
        <v>2430</v>
      </c>
      <c r="E668" s="89" t="s">
        <v>2431</v>
      </c>
      <c r="G668" s="27"/>
      <c r="H668" s="101" t="str">
        <f t="shared" si="10"/>
        <v>NECOMPLETAT</v>
      </c>
      <c r="I668" s="4" t="s">
        <v>3181</v>
      </c>
      <c r="J668" s="4" t="s">
        <v>3183</v>
      </c>
      <c r="K668" s="4" t="s">
        <v>3183</v>
      </c>
      <c r="L668" s="4"/>
    </row>
    <row r="669" spans="1:12" ht="90" x14ac:dyDescent="0.25">
      <c r="A669" s="52">
        <v>663</v>
      </c>
      <c r="B669" s="8" t="s">
        <v>2432</v>
      </c>
      <c r="C669" s="65" t="s">
        <v>2433</v>
      </c>
      <c r="D669" s="65" t="s">
        <v>2434</v>
      </c>
      <c r="E669" s="89" t="s">
        <v>2435</v>
      </c>
      <c r="G669" s="27"/>
      <c r="H669" s="101" t="str">
        <f t="shared" si="10"/>
        <v>NECOMPLETAT</v>
      </c>
      <c r="I669" s="4" t="s">
        <v>3183</v>
      </c>
      <c r="J669" s="4" t="s">
        <v>3183</v>
      </c>
      <c r="K669" s="4" t="s">
        <v>3180</v>
      </c>
      <c r="L669" s="4"/>
    </row>
    <row r="670" spans="1:12" ht="75" x14ac:dyDescent="0.25">
      <c r="A670" s="52">
        <v>664</v>
      </c>
      <c r="B670" s="8" t="s">
        <v>2436</v>
      </c>
      <c r="C670" s="65" t="s">
        <v>2437</v>
      </c>
      <c r="D670" s="65" t="s">
        <v>2438</v>
      </c>
      <c r="E670" s="89" t="s">
        <v>2439</v>
      </c>
      <c r="G670" s="27"/>
      <c r="H670" s="101" t="str">
        <f t="shared" si="10"/>
        <v>NECOMPLETAT</v>
      </c>
      <c r="I670" s="4" t="s">
        <v>3181</v>
      </c>
      <c r="J670" s="4" t="s">
        <v>3183</v>
      </c>
      <c r="K670" s="4" t="s">
        <v>3183</v>
      </c>
      <c r="L670" s="4"/>
    </row>
    <row r="671" spans="1:12" ht="60" x14ac:dyDescent="0.25">
      <c r="A671" s="52">
        <v>665</v>
      </c>
      <c r="B671" s="8" t="s">
        <v>2440</v>
      </c>
      <c r="C671" s="65" t="s">
        <v>2441</v>
      </c>
      <c r="D671" s="65" t="s">
        <v>2442</v>
      </c>
      <c r="E671" s="86" t="s">
        <v>1511</v>
      </c>
      <c r="G671" s="27"/>
      <c r="H671" s="101" t="str">
        <f t="shared" si="10"/>
        <v>NECOMPLETAT</v>
      </c>
      <c r="I671" s="4" t="s">
        <v>3183</v>
      </c>
      <c r="J671" s="4" t="s">
        <v>3183</v>
      </c>
      <c r="K671" s="4" t="s">
        <v>3180</v>
      </c>
      <c r="L671" s="4"/>
    </row>
    <row r="672" spans="1:12" ht="75" x14ac:dyDescent="0.25">
      <c r="A672" s="52">
        <v>666</v>
      </c>
      <c r="B672" s="8" t="s">
        <v>2443</v>
      </c>
      <c r="C672" s="62" t="s">
        <v>2444</v>
      </c>
      <c r="D672" s="62" t="s">
        <v>2445</v>
      </c>
      <c r="E672" s="86" t="s">
        <v>1229</v>
      </c>
      <c r="G672" s="27"/>
      <c r="H672" s="101" t="str">
        <f t="shared" si="10"/>
        <v>NECOMPLETAT</v>
      </c>
      <c r="I672" s="4" t="s">
        <v>3183</v>
      </c>
      <c r="J672" s="4" t="s">
        <v>3182</v>
      </c>
      <c r="K672" s="4" t="s">
        <v>3183</v>
      </c>
      <c r="L672" s="4"/>
    </row>
    <row r="673" spans="1:12" ht="60" x14ac:dyDescent="0.25">
      <c r="A673" s="52">
        <v>667</v>
      </c>
      <c r="B673" s="16" t="s">
        <v>2446</v>
      </c>
      <c r="C673" s="65" t="s">
        <v>2130</v>
      </c>
      <c r="D673" s="65" t="s">
        <v>2447</v>
      </c>
      <c r="E673" s="89" t="s">
        <v>2448</v>
      </c>
      <c r="G673" s="27"/>
      <c r="H673" s="101" t="str">
        <f t="shared" si="10"/>
        <v>NECOMPLETAT</v>
      </c>
      <c r="I673" s="4" t="s">
        <v>3181</v>
      </c>
      <c r="J673" s="4" t="s">
        <v>3183</v>
      </c>
      <c r="K673" s="4" t="s">
        <v>3183</v>
      </c>
      <c r="L673" s="4"/>
    </row>
    <row r="674" spans="1:12" ht="45" x14ac:dyDescent="0.25">
      <c r="A674" s="52">
        <v>668</v>
      </c>
      <c r="B674" s="8" t="s">
        <v>2449</v>
      </c>
      <c r="C674" s="62" t="s">
        <v>2450</v>
      </c>
      <c r="D674" s="62" t="s">
        <v>2451</v>
      </c>
      <c r="E674" s="86" t="s">
        <v>2452</v>
      </c>
      <c r="G674" s="27"/>
      <c r="H674" s="101" t="str">
        <f t="shared" si="10"/>
        <v>NECOMPLETAT</v>
      </c>
      <c r="I674" s="4" t="s">
        <v>3183</v>
      </c>
      <c r="J674" s="4" t="s">
        <v>3182</v>
      </c>
      <c r="K674" s="4" t="s">
        <v>3183</v>
      </c>
      <c r="L674" s="4"/>
    </row>
    <row r="675" spans="1:12" ht="60" x14ac:dyDescent="0.25">
      <c r="A675" s="52">
        <v>669</v>
      </c>
      <c r="B675" s="8" t="s">
        <v>2453</v>
      </c>
      <c r="C675" s="62" t="s">
        <v>2454</v>
      </c>
      <c r="D675" s="62" t="s">
        <v>2455</v>
      </c>
      <c r="E675" s="86" t="s">
        <v>2456</v>
      </c>
      <c r="G675" s="27"/>
      <c r="H675" s="101" t="str">
        <f t="shared" si="10"/>
        <v>NECOMPLETAT</v>
      </c>
      <c r="I675" s="4" t="s">
        <v>3183</v>
      </c>
      <c r="J675" s="4" t="s">
        <v>3182</v>
      </c>
      <c r="K675" s="4" t="s">
        <v>3183</v>
      </c>
      <c r="L675" s="4"/>
    </row>
    <row r="676" spans="1:12" ht="30" x14ac:dyDescent="0.25">
      <c r="A676" s="52">
        <v>670</v>
      </c>
      <c r="B676" s="8" t="s">
        <v>2457</v>
      </c>
      <c r="C676" s="62" t="s">
        <v>2458</v>
      </c>
      <c r="D676" s="62" t="s">
        <v>2459</v>
      </c>
      <c r="E676" s="86" t="s">
        <v>2460</v>
      </c>
      <c r="G676" s="27"/>
      <c r="H676" s="101" t="str">
        <f t="shared" si="10"/>
        <v>NECOMPLETAT</v>
      </c>
      <c r="I676" s="4" t="s">
        <v>3183</v>
      </c>
      <c r="J676" s="4" t="s">
        <v>3183</v>
      </c>
      <c r="K676" s="4" t="s">
        <v>3180</v>
      </c>
      <c r="L676" s="4"/>
    </row>
    <row r="677" spans="1:12" ht="60" x14ac:dyDescent="0.25">
      <c r="A677" s="52">
        <v>671</v>
      </c>
      <c r="B677" s="8" t="s">
        <v>2461</v>
      </c>
      <c r="C677" s="62" t="s">
        <v>2462</v>
      </c>
      <c r="D677" s="62" t="s">
        <v>2463</v>
      </c>
      <c r="E677" s="86" t="s">
        <v>2464</v>
      </c>
      <c r="G677" s="27"/>
      <c r="H677" s="101" t="str">
        <f t="shared" si="10"/>
        <v>NECOMPLETAT</v>
      </c>
      <c r="I677" s="4" t="s">
        <v>3181</v>
      </c>
      <c r="J677" s="4" t="s">
        <v>3183</v>
      </c>
      <c r="K677" s="4" t="s">
        <v>3183</v>
      </c>
      <c r="L677" s="4"/>
    </row>
    <row r="678" spans="1:12" ht="60" x14ac:dyDescent="0.25">
      <c r="A678" s="52">
        <v>672</v>
      </c>
      <c r="B678" s="8" t="s">
        <v>2465</v>
      </c>
      <c r="C678" s="62" t="s">
        <v>2466</v>
      </c>
      <c r="D678" s="62" t="s">
        <v>2463</v>
      </c>
      <c r="E678" s="86" t="s">
        <v>2464</v>
      </c>
      <c r="G678" s="27"/>
      <c r="H678" s="101" t="str">
        <f t="shared" si="10"/>
        <v>NECOMPLETAT</v>
      </c>
      <c r="I678" s="4" t="s">
        <v>3181</v>
      </c>
      <c r="J678" s="4" t="s">
        <v>3183</v>
      </c>
      <c r="K678" s="4" t="s">
        <v>3183</v>
      </c>
      <c r="L678" s="4"/>
    </row>
    <row r="679" spans="1:12" ht="45" x14ac:dyDescent="0.25">
      <c r="A679" s="52">
        <v>673</v>
      </c>
      <c r="B679" s="8" t="s">
        <v>2467</v>
      </c>
      <c r="C679" s="62" t="s">
        <v>2468</v>
      </c>
      <c r="D679" s="62" t="s">
        <v>2469</v>
      </c>
      <c r="E679" s="86" t="s">
        <v>2470</v>
      </c>
      <c r="G679" s="27"/>
      <c r="H679" s="101" t="str">
        <f t="shared" si="10"/>
        <v>NECOMPLETAT</v>
      </c>
      <c r="I679" s="4" t="s">
        <v>3181</v>
      </c>
      <c r="J679" s="4" t="s">
        <v>3183</v>
      </c>
      <c r="K679" s="4" t="s">
        <v>3183</v>
      </c>
      <c r="L679" s="4"/>
    </row>
    <row r="680" spans="1:12" ht="60" x14ac:dyDescent="0.25">
      <c r="A680" s="52">
        <v>674</v>
      </c>
      <c r="B680" s="8" t="s">
        <v>2471</v>
      </c>
      <c r="C680" s="62" t="s">
        <v>2472</v>
      </c>
      <c r="D680" s="62" t="s">
        <v>2473</v>
      </c>
      <c r="E680" s="86" t="s">
        <v>2474</v>
      </c>
      <c r="G680" s="27"/>
      <c r="H680" s="101" t="str">
        <f t="shared" si="10"/>
        <v>NECOMPLETAT</v>
      </c>
      <c r="I680" s="4" t="s">
        <v>3183</v>
      </c>
      <c r="J680" s="4" t="s">
        <v>3182</v>
      </c>
      <c r="K680" s="4" t="s">
        <v>3183</v>
      </c>
      <c r="L680" s="4"/>
    </row>
    <row r="681" spans="1:12" ht="45" x14ac:dyDescent="0.25">
      <c r="A681" s="52">
        <v>675</v>
      </c>
      <c r="B681" s="8" t="s">
        <v>2475</v>
      </c>
      <c r="C681" s="62" t="s">
        <v>2476</v>
      </c>
      <c r="D681" s="62" t="s">
        <v>2477</v>
      </c>
      <c r="E681" s="86" t="s">
        <v>2478</v>
      </c>
      <c r="G681" s="27"/>
      <c r="H681" s="101" t="str">
        <f t="shared" si="10"/>
        <v>NECOMPLETAT</v>
      </c>
      <c r="I681" s="4" t="s">
        <v>3183</v>
      </c>
      <c r="J681" s="4" t="s">
        <v>3183</v>
      </c>
      <c r="K681" s="4" t="s">
        <v>3180</v>
      </c>
      <c r="L681" s="4"/>
    </row>
    <row r="682" spans="1:12" ht="45" x14ac:dyDescent="0.25">
      <c r="A682" s="52">
        <v>676</v>
      </c>
      <c r="B682" s="8" t="s">
        <v>2475</v>
      </c>
      <c r="C682" s="62" t="s">
        <v>2479</v>
      </c>
      <c r="D682" s="62" t="s">
        <v>2477</v>
      </c>
      <c r="E682" s="86" t="s">
        <v>2476</v>
      </c>
      <c r="G682" s="27"/>
      <c r="H682" s="101" t="str">
        <f t="shared" si="10"/>
        <v>NECOMPLETAT</v>
      </c>
      <c r="I682" s="4" t="s">
        <v>3181</v>
      </c>
      <c r="J682" s="4" t="s">
        <v>3183</v>
      </c>
      <c r="K682" s="4" t="s">
        <v>3183</v>
      </c>
      <c r="L682" s="4"/>
    </row>
    <row r="683" spans="1:12" ht="60" x14ac:dyDescent="0.25">
      <c r="A683" s="52">
        <v>677</v>
      </c>
      <c r="B683" s="8" t="s">
        <v>2480</v>
      </c>
      <c r="C683" s="62" t="s">
        <v>2481</v>
      </c>
      <c r="D683" s="62" t="s">
        <v>2482</v>
      </c>
      <c r="E683" s="86" t="s">
        <v>2483</v>
      </c>
      <c r="G683" s="27"/>
      <c r="H683" s="101" t="str">
        <f t="shared" si="10"/>
        <v>NECOMPLETAT</v>
      </c>
      <c r="I683" s="4" t="s">
        <v>3183</v>
      </c>
      <c r="J683" s="4" t="s">
        <v>3183</v>
      </c>
      <c r="K683" s="4" t="s">
        <v>3180</v>
      </c>
      <c r="L683" s="4"/>
    </row>
    <row r="684" spans="1:12" ht="45" x14ac:dyDescent="0.25">
      <c r="A684" s="52">
        <v>678</v>
      </c>
      <c r="B684" s="16" t="s">
        <v>2484</v>
      </c>
      <c r="C684" s="65" t="s">
        <v>2485</v>
      </c>
      <c r="D684" s="65" t="s">
        <v>2486</v>
      </c>
      <c r="E684" s="89" t="s">
        <v>2487</v>
      </c>
      <c r="G684" s="27"/>
      <c r="H684" s="101" t="str">
        <f t="shared" si="10"/>
        <v>NECOMPLETAT</v>
      </c>
      <c r="I684" s="4" t="s">
        <v>3181</v>
      </c>
      <c r="J684" s="4" t="s">
        <v>3183</v>
      </c>
      <c r="K684" s="4" t="s">
        <v>3183</v>
      </c>
      <c r="L684" s="4"/>
    </row>
    <row r="685" spans="1:12" ht="45" x14ac:dyDescent="0.25">
      <c r="A685" s="52">
        <v>679</v>
      </c>
      <c r="B685" s="8" t="s">
        <v>2488</v>
      </c>
      <c r="C685" s="62" t="s">
        <v>2489</v>
      </c>
      <c r="D685" s="62" t="s">
        <v>2490</v>
      </c>
      <c r="E685" s="86" t="s">
        <v>2491</v>
      </c>
      <c r="G685" s="27"/>
      <c r="H685" s="101" t="str">
        <f t="shared" si="10"/>
        <v>NECOMPLETAT</v>
      </c>
      <c r="I685" s="4" t="s">
        <v>3183</v>
      </c>
      <c r="J685" s="4" t="s">
        <v>3183</v>
      </c>
      <c r="K685" s="4" t="s">
        <v>3180</v>
      </c>
      <c r="L685" s="4"/>
    </row>
    <row r="686" spans="1:12" ht="90" x14ac:dyDescent="0.25">
      <c r="A686" s="52">
        <v>680</v>
      </c>
      <c r="B686" s="8" t="s">
        <v>2492</v>
      </c>
      <c r="C686" s="62" t="s">
        <v>2493</v>
      </c>
      <c r="D686" s="62" t="s">
        <v>2494</v>
      </c>
      <c r="E686" s="86" t="s">
        <v>2495</v>
      </c>
      <c r="G686" s="27"/>
      <c r="H686" s="101" t="str">
        <f t="shared" si="10"/>
        <v>NECOMPLETAT</v>
      </c>
      <c r="I686" s="4" t="s">
        <v>3183</v>
      </c>
      <c r="J686" s="4" t="s">
        <v>3182</v>
      </c>
      <c r="K686" s="4" t="s">
        <v>3183</v>
      </c>
      <c r="L686" s="4"/>
    </row>
    <row r="687" spans="1:12" ht="105" x14ac:dyDescent="0.25">
      <c r="A687" s="52">
        <v>681</v>
      </c>
      <c r="B687" s="8" t="s">
        <v>2496</v>
      </c>
      <c r="C687" s="62" t="s">
        <v>2493</v>
      </c>
      <c r="D687" s="62" t="s">
        <v>2497</v>
      </c>
      <c r="E687" s="86" t="s">
        <v>2498</v>
      </c>
      <c r="G687" s="27"/>
      <c r="H687" s="101" t="str">
        <f t="shared" si="10"/>
        <v>NECOMPLETAT</v>
      </c>
      <c r="I687" s="4" t="s">
        <v>3183</v>
      </c>
      <c r="J687" s="4" t="s">
        <v>3183</v>
      </c>
      <c r="K687" s="4" t="s">
        <v>3180</v>
      </c>
      <c r="L687" s="4"/>
    </row>
    <row r="688" spans="1:12" ht="30" x14ac:dyDescent="0.25">
      <c r="A688" s="52">
        <v>682</v>
      </c>
      <c r="B688" s="8" t="s">
        <v>2499</v>
      </c>
      <c r="C688" s="62" t="s">
        <v>1284</v>
      </c>
      <c r="D688" s="62" t="s">
        <v>2500</v>
      </c>
      <c r="E688" s="86" t="s">
        <v>1286</v>
      </c>
      <c r="G688" s="27"/>
      <c r="H688" s="101" t="str">
        <f t="shared" si="10"/>
        <v>NECOMPLETAT</v>
      </c>
      <c r="I688" s="4" t="s">
        <v>3183</v>
      </c>
      <c r="J688" s="4" t="s">
        <v>3183</v>
      </c>
      <c r="K688" s="4" t="s">
        <v>3180</v>
      </c>
      <c r="L688" s="4"/>
    </row>
    <row r="689" spans="1:12" ht="30" x14ac:dyDescent="0.25">
      <c r="A689" s="52">
        <v>683</v>
      </c>
      <c r="B689" s="8" t="s">
        <v>2501</v>
      </c>
      <c r="C689" s="64" t="s">
        <v>2502</v>
      </c>
      <c r="D689" s="64" t="s">
        <v>2503</v>
      </c>
      <c r="E689" s="86" t="s">
        <v>2504</v>
      </c>
      <c r="G689" s="27"/>
      <c r="H689" s="101" t="str">
        <f t="shared" si="10"/>
        <v>NECOMPLETAT</v>
      </c>
      <c r="I689" s="4" t="s">
        <v>3183</v>
      </c>
      <c r="J689" s="4" t="s">
        <v>3182</v>
      </c>
      <c r="K689" s="4" t="s">
        <v>3183</v>
      </c>
      <c r="L689" s="4"/>
    </row>
    <row r="690" spans="1:12" ht="30" x14ac:dyDescent="0.25">
      <c r="A690" s="52">
        <v>684</v>
      </c>
      <c r="B690" s="8" t="s">
        <v>2505</v>
      </c>
      <c r="C690" s="64" t="s">
        <v>2503</v>
      </c>
      <c r="D690" s="64" t="s">
        <v>2502</v>
      </c>
      <c r="E690" s="86" t="s">
        <v>2504</v>
      </c>
      <c r="G690" s="27"/>
      <c r="H690" s="101" t="str">
        <f t="shared" si="10"/>
        <v>NECOMPLETAT</v>
      </c>
      <c r="I690" s="4" t="s">
        <v>3183</v>
      </c>
      <c r="J690" s="4" t="s">
        <v>3182</v>
      </c>
      <c r="K690" s="4" t="s">
        <v>3183</v>
      </c>
      <c r="L690" s="4"/>
    </row>
    <row r="691" spans="1:12" ht="45" x14ac:dyDescent="0.25">
      <c r="A691" s="52">
        <v>685</v>
      </c>
      <c r="B691" s="8" t="s">
        <v>2506</v>
      </c>
      <c r="C691" s="62" t="s">
        <v>2507</v>
      </c>
      <c r="D691" s="62" t="s">
        <v>2508</v>
      </c>
      <c r="E691" s="86" t="s">
        <v>1439</v>
      </c>
      <c r="G691" s="27"/>
      <c r="H691" s="101" t="str">
        <f t="shared" si="10"/>
        <v>NECOMPLETAT</v>
      </c>
      <c r="I691" s="4" t="s">
        <v>3183</v>
      </c>
      <c r="J691" s="4" t="s">
        <v>3182</v>
      </c>
      <c r="K691" s="4" t="s">
        <v>3183</v>
      </c>
      <c r="L691" s="4"/>
    </row>
    <row r="692" spans="1:12" ht="30" x14ac:dyDescent="0.25">
      <c r="A692" s="52">
        <v>686</v>
      </c>
      <c r="B692" s="8" t="s">
        <v>2509</v>
      </c>
      <c r="C692" s="62" t="s">
        <v>2510</v>
      </c>
      <c r="D692" s="62" t="s">
        <v>2511</v>
      </c>
      <c r="E692" s="86" t="s">
        <v>2512</v>
      </c>
      <c r="G692" s="27"/>
      <c r="H692" s="101" t="str">
        <f t="shared" si="10"/>
        <v>NECOMPLETAT</v>
      </c>
      <c r="I692" s="4" t="s">
        <v>3181</v>
      </c>
      <c r="J692" s="4" t="s">
        <v>3183</v>
      </c>
      <c r="K692" s="4" t="s">
        <v>3183</v>
      </c>
      <c r="L692" s="4"/>
    </row>
    <row r="693" spans="1:12" ht="30" x14ac:dyDescent="0.25">
      <c r="A693" s="52">
        <v>687</v>
      </c>
      <c r="B693" s="16" t="s">
        <v>2513</v>
      </c>
      <c r="C693" s="65" t="s">
        <v>1317</v>
      </c>
      <c r="D693" s="65" t="s">
        <v>2514</v>
      </c>
      <c r="E693" s="89" t="s">
        <v>1056</v>
      </c>
      <c r="G693" s="27"/>
      <c r="H693" s="101" t="str">
        <f t="shared" si="10"/>
        <v>NECOMPLETAT</v>
      </c>
      <c r="I693" s="4" t="s">
        <v>3183</v>
      </c>
      <c r="J693" s="4" t="s">
        <v>3183</v>
      </c>
      <c r="K693" s="4" t="s">
        <v>3180</v>
      </c>
      <c r="L693" s="4"/>
    </row>
    <row r="694" spans="1:12" ht="45" x14ac:dyDescent="0.25">
      <c r="A694" s="52">
        <v>688</v>
      </c>
      <c r="B694" s="8" t="s">
        <v>2515</v>
      </c>
      <c r="C694" s="62" t="s">
        <v>2516</v>
      </c>
      <c r="D694" s="62" t="s">
        <v>2517</v>
      </c>
      <c r="E694" s="86" t="s">
        <v>2518</v>
      </c>
      <c r="G694" s="27"/>
      <c r="H694" s="101" t="str">
        <f t="shared" si="10"/>
        <v>NECOMPLETAT</v>
      </c>
      <c r="I694" s="4" t="s">
        <v>3183</v>
      </c>
      <c r="J694" s="4" t="s">
        <v>3182</v>
      </c>
      <c r="K694" s="4" t="s">
        <v>3183</v>
      </c>
      <c r="L694" s="4"/>
    </row>
    <row r="695" spans="1:12" ht="60" x14ac:dyDescent="0.25">
      <c r="A695" s="52">
        <v>689</v>
      </c>
      <c r="B695" s="8" t="s">
        <v>2519</v>
      </c>
      <c r="C695" s="65" t="s">
        <v>1858</v>
      </c>
      <c r="D695" s="65" t="s">
        <v>2520</v>
      </c>
      <c r="E695" s="89" t="s">
        <v>1621</v>
      </c>
      <c r="G695" s="27"/>
      <c r="H695" s="101" t="str">
        <f t="shared" si="10"/>
        <v>NECOMPLETAT</v>
      </c>
      <c r="I695" s="4" t="s">
        <v>3183</v>
      </c>
      <c r="J695" s="4" t="s">
        <v>3183</v>
      </c>
      <c r="K695" s="4" t="s">
        <v>3180</v>
      </c>
      <c r="L695" s="4"/>
    </row>
    <row r="696" spans="1:12" ht="60" x14ac:dyDescent="0.25">
      <c r="A696" s="52">
        <v>690</v>
      </c>
      <c r="B696" s="8" t="s">
        <v>2521</v>
      </c>
      <c r="C696" s="62" t="s">
        <v>2522</v>
      </c>
      <c r="D696" s="62" t="s">
        <v>2523</v>
      </c>
      <c r="E696" s="86" t="s">
        <v>2524</v>
      </c>
      <c r="G696" s="27"/>
      <c r="H696" s="101" t="str">
        <f t="shared" si="10"/>
        <v>NECOMPLETAT</v>
      </c>
      <c r="I696" s="4" t="s">
        <v>3183</v>
      </c>
      <c r="J696" s="4" t="s">
        <v>3183</v>
      </c>
      <c r="K696" s="4" t="s">
        <v>3180</v>
      </c>
      <c r="L696" s="4"/>
    </row>
    <row r="697" spans="1:12" ht="45" x14ac:dyDescent="0.25">
      <c r="A697" s="52">
        <v>691</v>
      </c>
      <c r="B697" s="8" t="s">
        <v>2525</v>
      </c>
      <c r="C697" s="62" t="s">
        <v>2526</v>
      </c>
      <c r="D697" s="62" t="s">
        <v>2527</v>
      </c>
      <c r="E697" s="86" t="s">
        <v>2528</v>
      </c>
      <c r="G697" s="27"/>
      <c r="H697" s="101" t="str">
        <f t="shared" si="10"/>
        <v>NECOMPLETAT</v>
      </c>
      <c r="I697" s="4" t="s">
        <v>3181</v>
      </c>
      <c r="J697" s="4" t="s">
        <v>3183</v>
      </c>
      <c r="K697" s="4" t="s">
        <v>3183</v>
      </c>
      <c r="L697" s="4"/>
    </row>
    <row r="698" spans="1:12" ht="60" x14ac:dyDescent="0.25">
      <c r="A698" s="52">
        <v>692</v>
      </c>
      <c r="B698" s="8" t="s">
        <v>2529</v>
      </c>
      <c r="C698" s="62" t="s">
        <v>2530</v>
      </c>
      <c r="D698" s="62" t="s">
        <v>2531</v>
      </c>
      <c r="E698" s="86" t="s">
        <v>2532</v>
      </c>
      <c r="G698" s="27"/>
      <c r="H698" s="101" t="str">
        <f t="shared" si="10"/>
        <v>NECOMPLETAT</v>
      </c>
      <c r="I698" s="4" t="s">
        <v>3183</v>
      </c>
      <c r="J698" s="4" t="s">
        <v>3182</v>
      </c>
      <c r="K698" s="4" t="s">
        <v>3183</v>
      </c>
      <c r="L698" s="4"/>
    </row>
    <row r="699" spans="1:12" ht="60" x14ac:dyDescent="0.25">
      <c r="A699" s="52">
        <v>693</v>
      </c>
      <c r="B699" s="8" t="s">
        <v>2533</v>
      </c>
      <c r="C699" s="62" t="s">
        <v>2534</v>
      </c>
      <c r="D699" s="62" t="s">
        <v>2535</v>
      </c>
      <c r="E699" s="86" t="s">
        <v>2536</v>
      </c>
      <c r="G699" s="27"/>
      <c r="H699" s="101" t="str">
        <f t="shared" si="10"/>
        <v>NECOMPLETAT</v>
      </c>
      <c r="I699" s="4" t="s">
        <v>3181</v>
      </c>
      <c r="J699" s="4" t="s">
        <v>3183</v>
      </c>
      <c r="K699" s="4" t="s">
        <v>3183</v>
      </c>
      <c r="L699" s="4"/>
    </row>
    <row r="700" spans="1:12" ht="90" x14ac:dyDescent="0.25">
      <c r="A700" s="52">
        <v>694</v>
      </c>
      <c r="B700" s="8" t="s">
        <v>2537</v>
      </c>
      <c r="C700" s="62" t="s">
        <v>2538</v>
      </c>
      <c r="D700" s="62" t="s">
        <v>2539</v>
      </c>
      <c r="E700" s="86" t="s">
        <v>2540</v>
      </c>
      <c r="G700" s="27"/>
      <c r="H700" s="101" t="str">
        <f t="shared" si="10"/>
        <v>NECOMPLETAT</v>
      </c>
      <c r="I700" s="4" t="s">
        <v>3181</v>
      </c>
      <c r="J700" s="4" t="s">
        <v>3183</v>
      </c>
      <c r="K700" s="4" t="s">
        <v>3183</v>
      </c>
      <c r="L700" s="4"/>
    </row>
    <row r="701" spans="1:12" ht="75" x14ac:dyDescent="0.25">
      <c r="A701" s="52">
        <v>695</v>
      </c>
      <c r="B701" s="8" t="s">
        <v>2541</v>
      </c>
      <c r="C701" s="62" t="s">
        <v>2542</v>
      </c>
      <c r="D701" s="62" t="s">
        <v>2543</v>
      </c>
      <c r="E701" s="86" t="s">
        <v>2544</v>
      </c>
      <c r="G701" s="27"/>
      <c r="H701" s="101" t="str">
        <f t="shared" si="10"/>
        <v>NECOMPLETAT</v>
      </c>
      <c r="I701" s="4" t="s">
        <v>3181</v>
      </c>
      <c r="J701" s="4" t="s">
        <v>3183</v>
      </c>
      <c r="K701" s="4" t="s">
        <v>3183</v>
      </c>
      <c r="L701" s="4"/>
    </row>
    <row r="702" spans="1:12" ht="105" x14ac:dyDescent="0.25">
      <c r="A702" s="52">
        <v>696</v>
      </c>
      <c r="B702" s="8" t="s">
        <v>2545</v>
      </c>
      <c r="C702" s="62" t="s">
        <v>2546</v>
      </c>
      <c r="D702" s="62" t="s">
        <v>2547</v>
      </c>
      <c r="E702" s="86" t="s">
        <v>2548</v>
      </c>
      <c r="G702" s="27"/>
      <c r="H702" s="101" t="str">
        <f t="shared" si="10"/>
        <v>NECOMPLETAT</v>
      </c>
      <c r="I702" s="4" t="s">
        <v>3181</v>
      </c>
      <c r="J702" s="4" t="s">
        <v>3183</v>
      </c>
      <c r="K702" s="4" t="s">
        <v>3183</v>
      </c>
      <c r="L702" s="4"/>
    </row>
    <row r="703" spans="1:12" ht="45" x14ac:dyDescent="0.25">
      <c r="A703" s="52">
        <v>697</v>
      </c>
      <c r="B703" s="8" t="s">
        <v>2549</v>
      </c>
      <c r="C703" s="62" t="s">
        <v>2550</v>
      </c>
      <c r="D703" s="65" t="s">
        <v>2551</v>
      </c>
      <c r="E703" s="86" t="s">
        <v>2552</v>
      </c>
      <c r="G703" s="27"/>
      <c r="H703" s="101" t="str">
        <f t="shared" si="10"/>
        <v>NECOMPLETAT</v>
      </c>
      <c r="I703" s="4" t="s">
        <v>3181</v>
      </c>
      <c r="J703" s="4" t="s">
        <v>3183</v>
      </c>
      <c r="K703" s="4" t="s">
        <v>3183</v>
      </c>
      <c r="L703" s="4"/>
    </row>
    <row r="704" spans="1:12" ht="60" x14ac:dyDescent="0.25">
      <c r="A704" s="52">
        <v>698</v>
      </c>
      <c r="B704" s="8" t="s">
        <v>2553</v>
      </c>
      <c r="C704" s="62" t="s">
        <v>1183</v>
      </c>
      <c r="D704" s="62" t="s">
        <v>2554</v>
      </c>
      <c r="E704" s="86" t="s">
        <v>2555</v>
      </c>
      <c r="G704" s="27"/>
      <c r="H704" s="101" t="str">
        <f t="shared" si="10"/>
        <v>NECOMPLETAT</v>
      </c>
      <c r="I704" s="4" t="s">
        <v>3183</v>
      </c>
      <c r="J704" s="4" t="s">
        <v>3182</v>
      </c>
      <c r="K704" s="4" t="s">
        <v>3183</v>
      </c>
      <c r="L704" s="4"/>
    </row>
    <row r="705" spans="1:16" ht="75" x14ac:dyDescent="0.25">
      <c r="A705" s="52">
        <v>699</v>
      </c>
      <c r="B705" s="8" t="s">
        <v>2556</v>
      </c>
      <c r="C705" s="62" t="s">
        <v>2557</v>
      </c>
      <c r="D705" s="62" t="s">
        <v>2558</v>
      </c>
      <c r="E705" s="86" t="s">
        <v>1056</v>
      </c>
      <c r="G705" s="27"/>
      <c r="H705" s="101" t="str">
        <f t="shared" si="10"/>
        <v>NECOMPLETAT</v>
      </c>
      <c r="I705" s="4" t="s">
        <v>3183</v>
      </c>
      <c r="J705" s="4" t="s">
        <v>3183</v>
      </c>
      <c r="K705" s="4" t="s">
        <v>3180</v>
      </c>
      <c r="L705" s="4"/>
    </row>
    <row r="706" spans="1:16" ht="45" x14ac:dyDescent="0.25">
      <c r="A706" s="52">
        <v>700</v>
      </c>
      <c r="B706" s="8" t="s">
        <v>2559</v>
      </c>
      <c r="C706" s="62" t="s">
        <v>2560</v>
      </c>
      <c r="D706" s="62" t="s">
        <v>1056</v>
      </c>
      <c r="E706" s="86" t="s">
        <v>2561</v>
      </c>
      <c r="G706" s="27"/>
      <c r="H706" s="101" t="str">
        <f t="shared" si="10"/>
        <v>NECOMPLETAT</v>
      </c>
      <c r="I706" s="4" t="s">
        <v>3181</v>
      </c>
      <c r="J706" s="4" t="s">
        <v>3183</v>
      </c>
      <c r="K706" s="4" t="s">
        <v>3183</v>
      </c>
      <c r="L706" s="4"/>
    </row>
    <row r="707" spans="1:16" ht="45" x14ac:dyDescent="0.25">
      <c r="A707" s="52">
        <v>701</v>
      </c>
      <c r="B707" s="8" t="s">
        <v>2562</v>
      </c>
      <c r="C707" s="62" t="s">
        <v>2563</v>
      </c>
      <c r="D707" s="62" t="s">
        <v>2564</v>
      </c>
      <c r="E707" s="86" t="s">
        <v>2565</v>
      </c>
      <c r="G707" s="27"/>
      <c r="H707" s="101" t="str">
        <f t="shared" si="10"/>
        <v>NECOMPLETAT</v>
      </c>
      <c r="I707" s="4" t="s">
        <v>3183</v>
      </c>
      <c r="J707" s="4" t="s">
        <v>3183</v>
      </c>
      <c r="K707" s="4" t="s">
        <v>3180</v>
      </c>
      <c r="L707" s="4"/>
    </row>
    <row r="708" spans="1:16" ht="30" x14ac:dyDescent="0.25">
      <c r="A708" s="52">
        <v>702</v>
      </c>
      <c r="B708" s="8" t="s">
        <v>2566</v>
      </c>
      <c r="C708" s="62" t="s">
        <v>2567</v>
      </c>
      <c r="D708" s="62" t="s">
        <v>2568</v>
      </c>
      <c r="E708" s="86" t="s">
        <v>1884</v>
      </c>
      <c r="G708" s="27"/>
      <c r="H708" s="101" t="str">
        <f t="shared" si="10"/>
        <v>NECOMPLETAT</v>
      </c>
      <c r="I708" s="4" t="s">
        <v>3183</v>
      </c>
      <c r="J708" s="4" t="s">
        <v>3183</v>
      </c>
      <c r="K708" s="4" t="s">
        <v>3180</v>
      </c>
      <c r="L708" s="4"/>
    </row>
    <row r="709" spans="1:16" ht="45" x14ac:dyDescent="0.25">
      <c r="A709" s="52">
        <v>703</v>
      </c>
      <c r="B709" s="8" t="s">
        <v>2569</v>
      </c>
      <c r="C709" s="62" t="s">
        <v>2567</v>
      </c>
      <c r="D709" s="62" t="s">
        <v>2568</v>
      </c>
      <c r="E709" s="86" t="s">
        <v>1884</v>
      </c>
      <c r="G709" s="27"/>
      <c r="H709" s="101" t="str">
        <f t="shared" si="10"/>
        <v>NECOMPLETAT</v>
      </c>
      <c r="I709" s="4" t="s">
        <v>3183</v>
      </c>
      <c r="J709" s="4" t="s">
        <v>3183</v>
      </c>
      <c r="K709" s="4" t="s">
        <v>3180</v>
      </c>
      <c r="L709" s="4"/>
    </row>
    <row r="710" spans="1:16" ht="45" x14ac:dyDescent="0.25">
      <c r="A710" s="52">
        <v>704</v>
      </c>
      <c r="B710" s="8" t="s">
        <v>2570</v>
      </c>
      <c r="C710" s="62" t="s">
        <v>2571</v>
      </c>
      <c r="D710" s="62" t="s">
        <v>2572</v>
      </c>
      <c r="E710" s="86" t="s">
        <v>2573</v>
      </c>
      <c r="G710" s="27"/>
      <c r="H710" s="101" t="str">
        <f t="shared" si="10"/>
        <v>NECOMPLETAT</v>
      </c>
      <c r="I710" s="4" t="s">
        <v>3183</v>
      </c>
      <c r="J710" s="4" t="s">
        <v>3182</v>
      </c>
      <c r="K710" s="4" t="s">
        <v>3183</v>
      </c>
      <c r="L710" s="4"/>
    </row>
    <row r="711" spans="1:16" ht="30" x14ac:dyDescent="0.25">
      <c r="A711" s="52">
        <v>705</v>
      </c>
      <c r="B711" s="8" t="s">
        <v>2574</v>
      </c>
      <c r="C711" s="62" t="s">
        <v>2575</v>
      </c>
      <c r="D711" s="62" t="s">
        <v>2576</v>
      </c>
      <c r="E711" s="86" t="s">
        <v>2577</v>
      </c>
      <c r="G711" s="27"/>
      <c r="H711" s="101" t="str">
        <f t="shared" si="10"/>
        <v>NECOMPLETAT</v>
      </c>
      <c r="I711" s="4" t="s">
        <v>3183</v>
      </c>
      <c r="J711" s="4" t="s">
        <v>3183</v>
      </c>
      <c r="K711" s="4" t="s">
        <v>3180</v>
      </c>
      <c r="L711" s="4"/>
    </row>
    <row r="712" spans="1:16" ht="90" x14ac:dyDescent="0.25">
      <c r="A712" s="52">
        <v>706</v>
      </c>
      <c r="B712" s="8" t="s">
        <v>2578</v>
      </c>
      <c r="C712" s="62" t="s">
        <v>2546</v>
      </c>
      <c r="D712" s="62" t="s">
        <v>2579</v>
      </c>
      <c r="E712" s="86" t="s">
        <v>2580</v>
      </c>
      <c r="G712" s="27"/>
      <c r="H712" s="101" t="str">
        <f t="shared" ref="H712:H775" si="11">IF(G712=0,"NECOMPLETAT",IF(OR(G712=I712,G712=J712,G712=K712),"CORECT","GRESIT"))</f>
        <v>NECOMPLETAT</v>
      </c>
      <c r="I712" s="4" t="s">
        <v>3183</v>
      </c>
      <c r="J712" s="4" t="s">
        <v>3182</v>
      </c>
      <c r="K712" s="4" t="s">
        <v>3183</v>
      </c>
      <c r="L712" s="4"/>
    </row>
    <row r="713" spans="1:16" ht="45.75" thickBot="1" x14ac:dyDescent="0.3">
      <c r="A713" s="52">
        <v>707</v>
      </c>
      <c r="B713" s="16" t="s">
        <v>2581</v>
      </c>
      <c r="C713" s="65" t="s">
        <v>2582</v>
      </c>
      <c r="D713" s="65" t="s">
        <v>2583</v>
      </c>
      <c r="E713" s="89" t="s">
        <v>2584</v>
      </c>
      <c r="G713" s="27"/>
      <c r="H713" s="101" t="str">
        <f t="shared" si="11"/>
        <v>NECOMPLETAT</v>
      </c>
      <c r="I713" s="4" t="s">
        <v>3183</v>
      </c>
      <c r="J713" s="4" t="s">
        <v>3183</v>
      </c>
      <c r="K713" s="4" t="s">
        <v>3180</v>
      </c>
      <c r="L713" s="4"/>
    </row>
    <row r="714" spans="1:16" ht="60" x14ac:dyDescent="0.25">
      <c r="A714" s="52">
        <v>708</v>
      </c>
      <c r="B714" s="16" t="s">
        <v>2585</v>
      </c>
      <c r="C714" s="65" t="s">
        <v>2586</v>
      </c>
      <c r="D714" s="65" t="s">
        <v>2587</v>
      </c>
      <c r="E714" s="89" t="s">
        <v>2588</v>
      </c>
      <c r="G714" s="27"/>
      <c r="H714" s="101" t="str">
        <f t="shared" si="11"/>
        <v>NECOMPLETAT</v>
      </c>
      <c r="I714" s="4" t="s">
        <v>3181</v>
      </c>
      <c r="J714" s="4" t="s">
        <v>3183</v>
      </c>
      <c r="K714" s="4" t="s">
        <v>3183</v>
      </c>
      <c r="L714" s="4"/>
      <c r="M714" s="124" t="s">
        <v>3168</v>
      </c>
      <c r="N714" s="125"/>
      <c r="O714" s="125"/>
      <c r="P714" s="126"/>
    </row>
    <row r="715" spans="1:16" ht="45" x14ac:dyDescent="0.25">
      <c r="A715" s="52">
        <v>709</v>
      </c>
      <c r="B715" s="8" t="s">
        <v>2589</v>
      </c>
      <c r="C715" s="62" t="s">
        <v>2590</v>
      </c>
      <c r="D715" s="62" t="s">
        <v>2591</v>
      </c>
      <c r="E715" s="86" t="s">
        <v>2592</v>
      </c>
      <c r="G715" s="27"/>
      <c r="H715" s="101" t="str">
        <f t="shared" si="11"/>
        <v>NECOMPLETAT</v>
      </c>
      <c r="I715" s="4" t="s">
        <v>3183</v>
      </c>
      <c r="J715" s="4" t="s">
        <v>3183</v>
      </c>
      <c r="K715" s="4" t="s">
        <v>3180</v>
      </c>
      <c r="L715" s="4"/>
      <c r="M715" s="28" t="s">
        <v>3169</v>
      </c>
      <c r="N715" s="119" t="s">
        <v>3170</v>
      </c>
      <c r="O715" s="119"/>
      <c r="P715" s="29"/>
    </row>
    <row r="716" spans="1:16" ht="69" customHeight="1" x14ac:dyDescent="0.25">
      <c r="A716" s="52">
        <v>710</v>
      </c>
      <c r="B716" s="15" t="s">
        <v>2593</v>
      </c>
      <c r="C716" s="62" t="s">
        <v>2594</v>
      </c>
      <c r="D716" s="62" t="s">
        <v>2595</v>
      </c>
      <c r="E716" s="86" t="s">
        <v>2596</v>
      </c>
      <c r="G716" s="27"/>
      <c r="H716" s="101" t="str">
        <f t="shared" si="11"/>
        <v>NECOMPLETAT</v>
      </c>
      <c r="I716" s="4" t="s">
        <v>3181</v>
      </c>
      <c r="J716" s="4" t="s">
        <v>3183</v>
      </c>
      <c r="K716" s="4" t="s">
        <v>3183</v>
      </c>
      <c r="L716" s="4"/>
      <c r="M716" s="30"/>
      <c r="N716" s="3"/>
      <c r="O716" s="2"/>
      <c r="P716" s="29"/>
    </row>
    <row r="717" spans="1:16" ht="69" customHeight="1" thickBot="1" x14ac:dyDescent="0.3">
      <c r="A717" s="53">
        <v>711</v>
      </c>
      <c r="B717" s="54" t="s">
        <v>2593</v>
      </c>
      <c r="C717" s="71" t="s">
        <v>2597</v>
      </c>
      <c r="D717" s="71" t="s">
        <v>2598</v>
      </c>
      <c r="E717" s="95" t="s">
        <v>2596</v>
      </c>
      <c r="G717" s="27"/>
      <c r="H717" s="101" t="str">
        <f t="shared" si="11"/>
        <v>NECOMPLETAT</v>
      </c>
      <c r="I717" s="4" t="s">
        <v>3183</v>
      </c>
      <c r="J717" s="4" t="s">
        <v>3182</v>
      </c>
      <c r="K717" s="4" t="s">
        <v>3183</v>
      </c>
      <c r="L717" s="4"/>
      <c r="M717" s="31" t="s">
        <v>3171</v>
      </c>
      <c r="N717" s="32" t="s">
        <v>0</v>
      </c>
      <c r="O717" s="32" t="s">
        <v>1</v>
      </c>
      <c r="P717" s="33" t="s">
        <v>2</v>
      </c>
    </row>
    <row r="718" spans="1:16" ht="120" x14ac:dyDescent="0.25">
      <c r="A718" s="48">
        <v>712</v>
      </c>
      <c r="B718" s="49" t="s">
        <v>2599</v>
      </c>
      <c r="C718" s="72" t="s">
        <v>2600</v>
      </c>
      <c r="D718" s="72" t="s">
        <v>2601</v>
      </c>
      <c r="E718" s="96" t="s">
        <v>2602</v>
      </c>
      <c r="G718" s="27"/>
      <c r="H718" s="101" t="str">
        <f t="shared" si="11"/>
        <v>NECOMPLETAT</v>
      </c>
      <c r="I718" s="4" t="s">
        <v>3181</v>
      </c>
      <c r="J718" s="4" t="s">
        <v>3183</v>
      </c>
      <c r="K718" s="4" t="s">
        <v>3183</v>
      </c>
      <c r="L718" s="4"/>
    </row>
    <row r="719" spans="1:16" ht="45" x14ac:dyDescent="0.25">
      <c r="A719" s="27">
        <v>713</v>
      </c>
      <c r="B719" s="21" t="s">
        <v>2603</v>
      </c>
      <c r="C719" s="58" t="s">
        <v>2604</v>
      </c>
      <c r="D719" s="58" t="s">
        <v>2605</v>
      </c>
      <c r="E719" s="84" t="s">
        <v>2606</v>
      </c>
      <c r="G719" s="27"/>
      <c r="H719" s="101" t="str">
        <f t="shared" si="11"/>
        <v>NECOMPLETAT</v>
      </c>
      <c r="I719" s="4" t="s">
        <v>3181</v>
      </c>
      <c r="J719" s="4" t="s">
        <v>3183</v>
      </c>
      <c r="K719" s="4" t="s">
        <v>3183</v>
      </c>
      <c r="L719" s="4"/>
    </row>
    <row r="720" spans="1:16" ht="60" x14ac:dyDescent="0.25">
      <c r="A720" s="27">
        <v>714</v>
      </c>
      <c r="B720" s="21" t="s">
        <v>2607</v>
      </c>
      <c r="C720" s="73" t="s">
        <v>2608</v>
      </c>
      <c r="D720" s="58" t="s">
        <v>2609</v>
      </c>
      <c r="E720" s="97" t="s">
        <v>2610</v>
      </c>
      <c r="G720" s="27"/>
      <c r="H720" s="101" t="str">
        <f t="shared" si="11"/>
        <v>NECOMPLETAT</v>
      </c>
      <c r="I720" s="4" t="s">
        <v>3183</v>
      </c>
      <c r="J720" s="4" t="s">
        <v>3182</v>
      </c>
      <c r="K720" s="4" t="s">
        <v>3183</v>
      </c>
      <c r="L720" s="4"/>
    </row>
    <row r="721" spans="1:12" ht="90" x14ac:dyDescent="0.25">
      <c r="A721" s="27">
        <v>715</v>
      </c>
      <c r="B721" s="21" t="s">
        <v>2611</v>
      </c>
      <c r="C721" s="58" t="s">
        <v>2612</v>
      </c>
      <c r="D721" s="58" t="s">
        <v>2613</v>
      </c>
      <c r="E721" s="84" t="s">
        <v>2614</v>
      </c>
      <c r="G721" s="27"/>
      <c r="H721" s="101" t="str">
        <f t="shared" si="11"/>
        <v>NECOMPLETAT</v>
      </c>
      <c r="I721" s="4" t="s">
        <v>3183</v>
      </c>
      <c r="J721" s="4" t="s">
        <v>3182</v>
      </c>
      <c r="K721" s="4" t="s">
        <v>3183</v>
      </c>
      <c r="L721" s="4"/>
    </row>
    <row r="722" spans="1:12" ht="75" x14ac:dyDescent="0.25">
      <c r="A722" s="27">
        <v>716</v>
      </c>
      <c r="B722" s="21" t="s">
        <v>2615</v>
      </c>
      <c r="C722" s="58" t="s">
        <v>2616</v>
      </c>
      <c r="D722" s="58" t="s">
        <v>2617</v>
      </c>
      <c r="E722" s="84" t="s">
        <v>2618</v>
      </c>
      <c r="G722" s="27"/>
      <c r="H722" s="101" t="str">
        <f t="shared" si="11"/>
        <v>NECOMPLETAT</v>
      </c>
      <c r="I722" s="4" t="s">
        <v>3183</v>
      </c>
      <c r="J722" s="4" t="s">
        <v>3183</v>
      </c>
      <c r="K722" s="4" t="s">
        <v>3180</v>
      </c>
      <c r="L722" s="4"/>
    </row>
    <row r="723" spans="1:12" ht="135" x14ac:dyDescent="0.25">
      <c r="A723" s="27">
        <v>717</v>
      </c>
      <c r="B723" s="21" t="s">
        <v>2619</v>
      </c>
      <c r="C723" s="58" t="s">
        <v>2620</v>
      </c>
      <c r="D723" s="58" t="s">
        <v>2621</v>
      </c>
      <c r="E723" s="84" t="s">
        <v>2622</v>
      </c>
      <c r="G723" s="27"/>
      <c r="H723" s="101" t="str">
        <f t="shared" si="11"/>
        <v>NECOMPLETAT</v>
      </c>
      <c r="I723" s="4" t="s">
        <v>3183</v>
      </c>
      <c r="J723" s="4" t="s">
        <v>3182</v>
      </c>
      <c r="K723" s="4" t="s">
        <v>3183</v>
      </c>
      <c r="L723" s="4"/>
    </row>
    <row r="724" spans="1:12" ht="105" x14ac:dyDescent="0.25">
      <c r="A724" s="27">
        <v>718</v>
      </c>
      <c r="B724" s="21" t="s">
        <v>2623</v>
      </c>
      <c r="C724" s="58" t="s">
        <v>2624</v>
      </c>
      <c r="D724" s="58" t="s">
        <v>2625</v>
      </c>
      <c r="E724" s="84" t="s">
        <v>2626</v>
      </c>
      <c r="G724" s="27"/>
      <c r="H724" s="101" t="str">
        <f t="shared" si="11"/>
        <v>NECOMPLETAT</v>
      </c>
      <c r="I724" s="4" t="s">
        <v>3183</v>
      </c>
      <c r="J724" s="4" t="s">
        <v>3183</v>
      </c>
      <c r="K724" s="4" t="s">
        <v>3180</v>
      </c>
      <c r="L724" s="4"/>
    </row>
    <row r="725" spans="1:12" ht="90" x14ac:dyDescent="0.25">
      <c r="A725" s="27">
        <v>719</v>
      </c>
      <c r="B725" s="21" t="s">
        <v>2627</v>
      </c>
      <c r="C725" s="58" t="s">
        <v>2628</v>
      </c>
      <c r="D725" s="58" t="s">
        <v>2629</v>
      </c>
      <c r="E725" s="84" t="s">
        <v>2630</v>
      </c>
      <c r="G725" s="27"/>
      <c r="H725" s="101" t="str">
        <f t="shared" si="11"/>
        <v>NECOMPLETAT</v>
      </c>
      <c r="I725" s="4" t="s">
        <v>3183</v>
      </c>
      <c r="J725" s="4" t="s">
        <v>3183</v>
      </c>
      <c r="K725" s="4" t="s">
        <v>3180</v>
      </c>
      <c r="L725" s="4"/>
    </row>
    <row r="726" spans="1:12" ht="60" x14ac:dyDescent="0.25">
      <c r="A726" s="27">
        <v>720</v>
      </c>
      <c r="B726" s="21" t="s">
        <v>2631</v>
      </c>
      <c r="C726" s="58" t="s">
        <v>2632</v>
      </c>
      <c r="D726" s="58" t="s">
        <v>2633</v>
      </c>
      <c r="E726" s="84" t="s">
        <v>2634</v>
      </c>
      <c r="G726" s="27"/>
      <c r="H726" s="101" t="str">
        <f t="shared" si="11"/>
        <v>NECOMPLETAT</v>
      </c>
      <c r="I726" s="4" t="s">
        <v>3183</v>
      </c>
      <c r="J726" s="4" t="s">
        <v>3183</v>
      </c>
      <c r="K726" s="4" t="s">
        <v>3180</v>
      </c>
      <c r="L726" s="4"/>
    </row>
    <row r="727" spans="1:12" ht="75" x14ac:dyDescent="0.25">
      <c r="A727" s="27">
        <v>721</v>
      </c>
      <c r="B727" s="21" t="s">
        <v>2635</v>
      </c>
      <c r="C727" s="58" t="s">
        <v>2636</v>
      </c>
      <c r="D727" s="58" t="s">
        <v>2637</v>
      </c>
      <c r="E727" s="84" t="s">
        <v>2638</v>
      </c>
      <c r="G727" s="27"/>
      <c r="H727" s="101" t="str">
        <f t="shared" si="11"/>
        <v>NECOMPLETAT</v>
      </c>
      <c r="I727" s="4" t="s">
        <v>3183</v>
      </c>
      <c r="J727" s="4" t="s">
        <v>3183</v>
      </c>
      <c r="K727" s="4" t="s">
        <v>3180</v>
      </c>
      <c r="L727" s="4"/>
    </row>
    <row r="728" spans="1:12" ht="60" x14ac:dyDescent="0.25">
      <c r="A728" s="27">
        <v>722</v>
      </c>
      <c r="B728" s="21" t="s">
        <v>2639</v>
      </c>
      <c r="C728" s="58" t="s">
        <v>2640</v>
      </c>
      <c r="D728" s="58" t="s">
        <v>2641</v>
      </c>
      <c r="E728" s="84" t="s">
        <v>2642</v>
      </c>
      <c r="G728" s="27"/>
      <c r="H728" s="101" t="str">
        <f t="shared" si="11"/>
        <v>NECOMPLETAT</v>
      </c>
      <c r="I728" s="4" t="s">
        <v>3183</v>
      </c>
      <c r="J728" s="4" t="s">
        <v>3183</v>
      </c>
      <c r="K728" s="4" t="s">
        <v>3180</v>
      </c>
      <c r="L728" s="4"/>
    </row>
    <row r="729" spans="1:12" ht="105" x14ac:dyDescent="0.25">
      <c r="A729" s="27">
        <v>723</v>
      </c>
      <c r="B729" s="21" t="s">
        <v>2643</v>
      </c>
      <c r="C729" s="58" t="s">
        <v>2644</v>
      </c>
      <c r="D729" s="58" t="s">
        <v>2645</v>
      </c>
      <c r="E729" s="84" t="s">
        <v>2646</v>
      </c>
      <c r="G729" s="27"/>
      <c r="H729" s="101" t="str">
        <f t="shared" si="11"/>
        <v>NECOMPLETAT</v>
      </c>
      <c r="I729" s="4" t="s">
        <v>3183</v>
      </c>
      <c r="J729" s="4" t="s">
        <v>3183</v>
      </c>
      <c r="K729" s="4" t="s">
        <v>3180</v>
      </c>
      <c r="L729" s="4"/>
    </row>
    <row r="730" spans="1:12" ht="45" x14ac:dyDescent="0.25">
      <c r="A730" s="27">
        <v>724</v>
      </c>
      <c r="B730" s="21" t="s">
        <v>2647</v>
      </c>
      <c r="C730" s="58" t="s">
        <v>2648</v>
      </c>
      <c r="D730" s="58" t="s">
        <v>2649</v>
      </c>
      <c r="E730" s="84" t="s">
        <v>2650</v>
      </c>
      <c r="G730" s="27"/>
      <c r="H730" s="101" t="str">
        <f t="shared" si="11"/>
        <v>NECOMPLETAT</v>
      </c>
      <c r="I730" s="4" t="s">
        <v>3183</v>
      </c>
      <c r="J730" s="4" t="s">
        <v>3183</v>
      </c>
      <c r="K730" s="4" t="s">
        <v>3180</v>
      </c>
      <c r="L730" s="4"/>
    </row>
    <row r="731" spans="1:12" ht="45" x14ac:dyDescent="0.25">
      <c r="A731" s="27">
        <v>725</v>
      </c>
      <c r="B731" s="21" t="s">
        <v>2651</v>
      </c>
      <c r="C731" s="58" t="s">
        <v>2652</v>
      </c>
      <c r="D731" s="58" t="s">
        <v>2653</v>
      </c>
      <c r="E731" s="84" t="s">
        <v>2654</v>
      </c>
      <c r="G731" s="27"/>
      <c r="H731" s="101" t="str">
        <f t="shared" si="11"/>
        <v>NECOMPLETAT</v>
      </c>
      <c r="I731" s="4" t="s">
        <v>3183</v>
      </c>
      <c r="J731" s="4" t="s">
        <v>3182</v>
      </c>
      <c r="K731" s="4" t="s">
        <v>3183</v>
      </c>
      <c r="L731" s="4"/>
    </row>
    <row r="732" spans="1:12" ht="90" x14ac:dyDescent="0.25">
      <c r="A732" s="27">
        <v>726</v>
      </c>
      <c r="B732" s="21" t="s">
        <v>2655</v>
      </c>
      <c r="C732" s="58" t="s">
        <v>2656</v>
      </c>
      <c r="D732" s="58" t="s">
        <v>2657</v>
      </c>
      <c r="E732" s="84" t="s">
        <v>2658</v>
      </c>
      <c r="G732" s="27"/>
      <c r="H732" s="101" t="str">
        <f t="shared" si="11"/>
        <v>NECOMPLETAT</v>
      </c>
      <c r="I732" s="4" t="s">
        <v>3183</v>
      </c>
      <c r="J732" s="4" t="s">
        <v>3183</v>
      </c>
      <c r="K732" s="4" t="s">
        <v>3180</v>
      </c>
      <c r="L732" s="4"/>
    </row>
    <row r="733" spans="1:12" ht="90" x14ac:dyDescent="0.25">
      <c r="A733" s="27">
        <v>727</v>
      </c>
      <c r="B733" s="21" t="s">
        <v>2659</v>
      </c>
      <c r="C733" s="58" t="s">
        <v>2660</v>
      </c>
      <c r="D733" s="58" t="s">
        <v>2661</v>
      </c>
      <c r="E733" s="84" t="s">
        <v>2662</v>
      </c>
      <c r="G733" s="27"/>
      <c r="H733" s="101" t="str">
        <f t="shared" si="11"/>
        <v>NECOMPLETAT</v>
      </c>
      <c r="I733" s="4" t="s">
        <v>3183</v>
      </c>
      <c r="J733" s="4" t="s">
        <v>3183</v>
      </c>
      <c r="K733" s="4" t="s">
        <v>3180</v>
      </c>
      <c r="L733" s="4"/>
    </row>
    <row r="734" spans="1:12" ht="45" x14ac:dyDescent="0.25">
      <c r="A734" s="27">
        <v>728</v>
      </c>
      <c r="B734" s="22" t="s">
        <v>2663</v>
      </c>
      <c r="C734" s="74" t="s">
        <v>2664</v>
      </c>
      <c r="D734" s="74" t="s">
        <v>2665</v>
      </c>
      <c r="E734" s="98" t="s">
        <v>2666</v>
      </c>
      <c r="G734" s="27"/>
      <c r="H734" s="101" t="str">
        <f t="shared" si="11"/>
        <v>NECOMPLETAT</v>
      </c>
      <c r="I734" s="4" t="s">
        <v>3183</v>
      </c>
      <c r="J734" s="4" t="s">
        <v>3183</v>
      </c>
      <c r="K734" s="4" t="s">
        <v>3180</v>
      </c>
      <c r="L734" s="4"/>
    </row>
    <row r="735" spans="1:12" x14ac:dyDescent="0.25">
      <c r="A735" s="27">
        <v>729</v>
      </c>
      <c r="B735" s="21" t="s">
        <v>2667</v>
      </c>
      <c r="C735" s="58" t="s">
        <v>2668</v>
      </c>
      <c r="D735" s="58" t="s">
        <v>2669</v>
      </c>
      <c r="E735" s="84" t="s">
        <v>2670</v>
      </c>
      <c r="G735" s="27"/>
      <c r="H735" s="101" t="str">
        <f t="shared" si="11"/>
        <v>NECOMPLETAT</v>
      </c>
      <c r="I735" s="4" t="s">
        <v>3183</v>
      </c>
      <c r="J735" s="4" t="s">
        <v>3183</v>
      </c>
      <c r="K735" s="4" t="s">
        <v>3180</v>
      </c>
      <c r="L735" s="4"/>
    </row>
    <row r="736" spans="1:12" ht="105" x14ac:dyDescent="0.25">
      <c r="A736" s="27">
        <v>730</v>
      </c>
      <c r="B736" s="21" t="s">
        <v>2671</v>
      </c>
      <c r="C736" s="58" t="s">
        <v>2672</v>
      </c>
      <c r="D736" s="58" t="s">
        <v>2673</v>
      </c>
      <c r="E736" s="84" t="s">
        <v>2674</v>
      </c>
      <c r="G736" s="27"/>
      <c r="H736" s="101" t="str">
        <f t="shared" si="11"/>
        <v>NECOMPLETAT</v>
      </c>
      <c r="I736" s="4" t="s">
        <v>3183</v>
      </c>
      <c r="J736" s="4" t="s">
        <v>3183</v>
      </c>
      <c r="K736" s="4" t="s">
        <v>3180</v>
      </c>
      <c r="L736" s="4"/>
    </row>
    <row r="737" spans="1:12" ht="90" x14ac:dyDescent="0.25">
      <c r="A737" s="27">
        <v>731</v>
      </c>
      <c r="B737" s="23" t="s">
        <v>2675</v>
      </c>
      <c r="C737" s="58" t="s">
        <v>2676</v>
      </c>
      <c r="D737" s="58" t="s">
        <v>2677</v>
      </c>
      <c r="E737" s="84" t="s">
        <v>2678</v>
      </c>
      <c r="G737" s="27"/>
      <c r="H737" s="101" t="str">
        <f t="shared" si="11"/>
        <v>NECOMPLETAT</v>
      </c>
      <c r="I737" s="4" t="s">
        <v>3183</v>
      </c>
      <c r="J737" s="4" t="s">
        <v>3183</v>
      </c>
      <c r="K737" s="4" t="s">
        <v>3180</v>
      </c>
      <c r="L737" s="4"/>
    </row>
    <row r="738" spans="1:12" ht="75" x14ac:dyDescent="0.25">
      <c r="A738" s="27">
        <v>732</v>
      </c>
      <c r="B738" s="21" t="s">
        <v>2679</v>
      </c>
      <c r="C738" s="58" t="s">
        <v>2680</v>
      </c>
      <c r="D738" s="58" t="s">
        <v>2681</v>
      </c>
      <c r="E738" s="84" t="s">
        <v>2682</v>
      </c>
      <c r="G738" s="27"/>
      <c r="H738" s="101" t="str">
        <f t="shared" si="11"/>
        <v>NECOMPLETAT</v>
      </c>
      <c r="I738" s="4" t="s">
        <v>3183</v>
      </c>
      <c r="J738" s="4" t="s">
        <v>3183</v>
      </c>
      <c r="K738" s="4" t="s">
        <v>3180</v>
      </c>
      <c r="L738" s="4"/>
    </row>
    <row r="739" spans="1:12" ht="60" x14ac:dyDescent="0.25">
      <c r="A739" s="27">
        <v>733</v>
      </c>
      <c r="B739" s="21" t="s">
        <v>2683</v>
      </c>
      <c r="C739" s="74" t="s">
        <v>2684</v>
      </c>
      <c r="D739" s="74" t="s">
        <v>2685</v>
      </c>
      <c r="E739" s="84" t="s">
        <v>2686</v>
      </c>
      <c r="G739" s="27"/>
      <c r="H739" s="101" t="str">
        <f t="shared" si="11"/>
        <v>NECOMPLETAT</v>
      </c>
      <c r="I739" s="4" t="s">
        <v>3183</v>
      </c>
      <c r="J739" s="4" t="s">
        <v>3182</v>
      </c>
      <c r="K739" s="4" t="s">
        <v>3183</v>
      </c>
      <c r="L739" s="4"/>
    </row>
    <row r="740" spans="1:12" ht="90" x14ac:dyDescent="0.25">
      <c r="A740" s="27">
        <v>734</v>
      </c>
      <c r="B740" s="21" t="s">
        <v>2687</v>
      </c>
      <c r="C740" s="58" t="s">
        <v>2688</v>
      </c>
      <c r="D740" s="58" t="s">
        <v>2689</v>
      </c>
      <c r="E740" s="84" t="s">
        <v>2690</v>
      </c>
      <c r="G740" s="27"/>
      <c r="H740" s="101" t="str">
        <f t="shared" si="11"/>
        <v>NECOMPLETAT</v>
      </c>
      <c r="I740" s="4" t="s">
        <v>3183</v>
      </c>
      <c r="J740" s="4" t="s">
        <v>3183</v>
      </c>
      <c r="K740" s="4" t="s">
        <v>3180</v>
      </c>
      <c r="L740" s="4"/>
    </row>
    <row r="741" spans="1:12" ht="105" x14ac:dyDescent="0.25">
      <c r="A741" s="27">
        <v>735</v>
      </c>
      <c r="B741" s="21" t="s">
        <v>2691</v>
      </c>
      <c r="C741" s="58" t="s">
        <v>2692</v>
      </c>
      <c r="D741" s="58" t="s">
        <v>2693</v>
      </c>
      <c r="E741" s="84" t="s">
        <v>2694</v>
      </c>
      <c r="G741" s="27"/>
      <c r="H741" s="101" t="str">
        <f t="shared" si="11"/>
        <v>NECOMPLETAT</v>
      </c>
      <c r="I741" s="4" t="s">
        <v>3183</v>
      </c>
      <c r="J741" s="4" t="s">
        <v>3183</v>
      </c>
      <c r="K741" s="4" t="s">
        <v>3180</v>
      </c>
      <c r="L741" s="4"/>
    </row>
    <row r="742" spans="1:12" ht="105" x14ac:dyDescent="0.25">
      <c r="A742" s="27">
        <v>736</v>
      </c>
      <c r="B742" s="21" t="s">
        <v>2695</v>
      </c>
      <c r="C742" s="58" t="s">
        <v>2696</v>
      </c>
      <c r="D742" s="58" t="s">
        <v>2697</v>
      </c>
      <c r="E742" s="84" t="s">
        <v>2698</v>
      </c>
      <c r="G742" s="27"/>
      <c r="H742" s="101" t="str">
        <f t="shared" si="11"/>
        <v>NECOMPLETAT</v>
      </c>
      <c r="I742" s="4" t="s">
        <v>3183</v>
      </c>
      <c r="J742" s="4" t="s">
        <v>3183</v>
      </c>
      <c r="K742" s="4" t="s">
        <v>3180</v>
      </c>
      <c r="L742" s="4"/>
    </row>
    <row r="743" spans="1:12" ht="60" x14ac:dyDescent="0.25">
      <c r="A743" s="27">
        <v>737</v>
      </c>
      <c r="B743" s="21" t="s">
        <v>2699</v>
      </c>
      <c r="C743" s="58" t="s">
        <v>2700</v>
      </c>
      <c r="D743" s="58" t="s">
        <v>2701</v>
      </c>
      <c r="E743" s="84" t="s">
        <v>2702</v>
      </c>
      <c r="G743" s="27"/>
      <c r="H743" s="101" t="str">
        <f t="shared" si="11"/>
        <v>NECOMPLETAT</v>
      </c>
      <c r="I743" s="4" t="s">
        <v>3183</v>
      </c>
      <c r="J743" s="4" t="s">
        <v>3183</v>
      </c>
      <c r="K743" s="4" t="s">
        <v>3180</v>
      </c>
      <c r="L743" s="4"/>
    </row>
    <row r="744" spans="1:12" ht="105" x14ac:dyDescent="0.25">
      <c r="A744" s="27">
        <v>738</v>
      </c>
      <c r="B744" s="23" t="s">
        <v>2703</v>
      </c>
      <c r="C744" s="58" t="s">
        <v>2704</v>
      </c>
      <c r="D744" s="58" t="s">
        <v>2705</v>
      </c>
      <c r="E744" s="84" t="s">
        <v>2706</v>
      </c>
      <c r="G744" s="27"/>
      <c r="H744" s="101" t="str">
        <f t="shared" si="11"/>
        <v>NECOMPLETAT</v>
      </c>
      <c r="I744" s="4" t="s">
        <v>3181</v>
      </c>
      <c r="J744" s="4" t="s">
        <v>3183</v>
      </c>
      <c r="K744" s="4" t="s">
        <v>3183</v>
      </c>
      <c r="L744" s="4"/>
    </row>
    <row r="745" spans="1:12" ht="45" x14ac:dyDescent="0.25">
      <c r="A745" s="27">
        <v>739</v>
      </c>
      <c r="B745" s="21" t="s">
        <v>2707</v>
      </c>
      <c r="C745" s="58" t="s">
        <v>2708</v>
      </c>
      <c r="D745" s="58" t="s">
        <v>2709</v>
      </c>
      <c r="E745" s="84" t="s">
        <v>2710</v>
      </c>
      <c r="G745" s="27"/>
      <c r="H745" s="101" t="str">
        <f t="shared" si="11"/>
        <v>NECOMPLETAT</v>
      </c>
      <c r="I745" s="4" t="s">
        <v>3183</v>
      </c>
      <c r="J745" s="4" t="s">
        <v>3183</v>
      </c>
      <c r="K745" s="4" t="s">
        <v>3180</v>
      </c>
      <c r="L745" s="4"/>
    </row>
    <row r="746" spans="1:12" ht="45" x14ac:dyDescent="0.25">
      <c r="A746" s="27">
        <v>740</v>
      </c>
      <c r="B746" s="21" t="s">
        <v>2711</v>
      </c>
      <c r="C746" s="58" t="s">
        <v>2712</v>
      </c>
      <c r="D746" s="58" t="s">
        <v>2713</v>
      </c>
      <c r="E746" s="84" t="s">
        <v>2714</v>
      </c>
      <c r="G746" s="27"/>
      <c r="H746" s="101" t="str">
        <f t="shared" si="11"/>
        <v>NECOMPLETAT</v>
      </c>
      <c r="I746" s="4" t="s">
        <v>3183</v>
      </c>
      <c r="J746" s="4" t="s">
        <v>3182</v>
      </c>
      <c r="K746" s="4" t="s">
        <v>3183</v>
      </c>
      <c r="L746" s="4"/>
    </row>
    <row r="747" spans="1:12" ht="75" x14ac:dyDescent="0.25">
      <c r="A747" s="27">
        <v>741</v>
      </c>
      <c r="B747" s="21" t="s">
        <v>2715</v>
      </c>
      <c r="C747" s="58" t="s">
        <v>2716</v>
      </c>
      <c r="D747" s="58" t="s">
        <v>2717</v>
      </c>
      <c r="E747" s="84" t="s">
        <v>2718</v>
      </c>
      <c r="G747" s="27"/>
      <c r="H747" s="101" t="str">
        <f t="shared" si="11"/>
        <v>NECOMPLETAT</v>
      </c>
      <c r="I747" s="4" t="s">
        <v>3181</v>
      </c>
      <c r="J747" s="4" t="s">
        <v>3183</v>
      </c>
      <c r="K747" s="4" t="s">
        <v>3183</v>
      </c>
      <c r="L747" s="4"/>
    </row>
    <row r="748" spans="1:12" ht="75" x14ac:dyDescent="0.25">
      <c r="A748" s="27">
        <v>742</v>
      </c>
      <c r="B748" s="21" t="s">
        <v>2719</v>
      </c>
      <c r="C748" s="58" t="s">
        <v>2720</v>
      </c>
      <c r="D748" s="58" t="s">
        <v>2721</v>
      </c>
      <c r="E748" s="84" t="s">
        <v>2722</v>
      </c>
      <c r="G748" s="27"/>
      <c r="H748" s="101" t="str">
        <f t="shared" si="11"/>
        <v>NECOMPLETAT</v>
      </c>
      <c r="I748" s="4" t="s">
        <v>3183</v>
      </c>
      <c r="J748" s="4" t="s">
        <v>3182</v>
      </c>
      <c r="K748" s="4" t="s">
        <v>3183</v>
      </c>
      <c r="L748" s="4"/>
    </row>
    <row r="749" spans="1:12" ht="60" x14ac:dyDescent="0.25">
      <c r="A749" s="27">
        <v>743</v>
      </c>
      <c r="B749" s="21" t="s">
        <v>2723</v>
      </c>
      <c r="C749" s="58" t="s">
        <v>2724</v>
      </c>
      <c r="D749" s="58" t="s">
        <v>2725</v>
      </c>
      <c r="E749" s="84" t="s">
        <v>2726</v>
      </c>
      <c r="G749" s="27"/>
      <c r="H749" s="101" t="str">
        <f t="shared" si="11"/>
        <v>NECOMPLETAT</v>
      </c>
      <c r="I749" s="4" t="s">
        <v>3183</v>
      </c>
      <c r="J749" s="4" t="s">
        <v>3183</v>
      </c>
      <c r="K749" s="4" t="s">
        <v>3180</v>
      </c>
      <c r="L749" s="4"/>
    </row>
    <row r="750" spans="1:12" ht="90" x14ac:dyDescent="0.25">
      <c r="A750" s="27">
        <v>744</v>
      </c>
      <c r="B750" s="21" t="s">
        <v>2727</v>
      </c>
      <c r="C750" s="58" t="s">
        <v>2728</v>
      </c>
      <c r="D750" s="58" t="s">
        <v>2729</v>
      </c>
      <c r="E750" s="84" t="s">
        <v>2730</v>
      </c>
      <c r="G750" s="27"/>
      <c r="H750" s="101" t="str">
        <f t="shared" si="11"/>
        <v>NECOMPLETAT</v>
      </c>
      <c r="I750" s="4" t="s">
        <v>3183</v>
      </c>
      <c r="J750" s="4" t="s">
        <v>3183</v>
      </c>
      <c r="K750" s="4" t="s">
        <v>3180</v>
      </c>
      <c r="L750" s="4"/>
    </row>
    <row r="751" spans="1:12" ht="60" x14ac:dyDescent="0.25">
      <c r="A751" s="27">
        <v>745</v>
      </c>
      <c r="B751" s="21" t="s">
        <v>2731</v>
      </c>
      <c r="C751" s="58" t="s">
        <v>2732</v>
      </c>
      <c r="D751" s="58" t="s">
        <v>2733</v>
      </c>
      <c r="E751" s="84" t="s">
        <v>2734</v>
      </c>
      <c r="G751" s="27"/>
      <c r="H751" s="101" t="str">
        <f t="shared" si="11"/>
        <v>NECOMPLETAT</v>
      </c>
      <c r="I751" s="4" t="s">
        <v>3181</v>
      </c>
      <c r="J751" s="4" t="s">
        <v>3183</v>
      </c>
      <c r="K751" s="4" t="s">
        <v>3183</v>
      </c>
      <c r="L751" s="4"/>
    </row>
    <row r="752" spans="1:12" ht="60" x14ac:dyDescent="0.25">
      <c r="A752" s="27">
        <v>746</v>
      </c>
      <c r="B752" s="21" t="s">
        <v>2735</v>
      </c>
      <c r="C752" s="58" t="s">
        <v>2724</v>
      </c>
      <c r="D752" s="58" t="s">
        <v>2736</v>
      </c>
      <c r="E752" s="84" t="s">
        <v>2737</v>
      </c>
      <c r="G752" s="27"/>
      <c r="H752" s="101" t="str">
        <f t="shared" si="11"/>
        <v>NECOMPLETAT</v>
      </c>
      <c r="I752" s="4" t="s">
        <v>3183</v>
      </c>
      <c r="J752" s="4" t="s">
        <v>3183</v>
      </c>
      <c r="K752" s="4" t="s">
        <v>3180</v>
      </c>
      <c r="L752" s="4"/>
    </row>
    <row r="753" spans="1:12" ht="45" x14ac:dyDescent="0.25">
      <c r="A753" s="27">
        <v>747</v>
      </c>
      <c r="B753" s="21" t="s">
        <v>2738</v>
      </c>
      <c r="C753" s="58" t="s">
        <v>2739</v>
      </c>
      <c r="D753" s="58" t="s">
        <v>2740</v>
      </c>
      <c r="E753" s="84" t="s">
        <v>2741</v>
      </c>
      <c r="G753" s="27"/>
      <c r="H753" s="101" t="str">
        <f t="shared" si="11"/>
        <v>NECOMPLETAT</v>
      </c>
      <c r="I753" s="4" t="s">
        <v>3181</v>
      </c>
      <c r="J753" s="4" t="s">
        <v>3183</v>
      </c>
      <c r="K753" s="4" t="s">
        <v>3183</v>
      </c>
      <c r="L753" s="4"/>
    </row>
    <row r="754" spans="1:12" ht="45" x14ac:dyDescent="0.25">
      <c r="A754" s="27">
        <v>748</v>
      </c>
      <c r="B754" s="21" t="s">
        <v>2742</v>
      </c>
      <c r="C754" s="58" t="s">
        <v>2743</v>
      </c>
      <c r="D754" s="58" t="s">
        <v>2744</v>
      </c>
      <c r="E754" s="84" t="s">
        <v>2745</v>
      </c>
      <c r="G754" s="27"/>
      <c r="H754" s="101" t="str">
        <f t="shared" si="11"/>
        <v>NECOMPLETAT</v>
      </c>
      <c r="I754" s="4" t="s">
        <v>3183</v>
      </c>
      <c r="J754" s="4" t="s">
        <v>3183</v>
      </c>
      <c r="K754" s="4" t="s">
        <v>3180</v>
      </c>
      <c r="L754" s="4"/>
    </row>
    <row r="755" spans="1:12" ht="45" x14ac:dyDescent="0.25">
      <c r="A755" s="27">
        <v>749</v>
      </c>
      <c r="B755" s="21" t="s">
        <v>2746</v>
      </c>
      <c r="C755" s="58" t="s">
        <v>2747</v>
      </c>
      <c r="D755" s="58" t="s">
        <v>2748</v>
      </c>
      <c r="E755" s="84" t="s">
        <v>2749</v>
      </c>
      <c r="G755" s="27"/>
      <c r="H755" s="101" t="str">
        <f t="shared" si="11"/>
        <v>NECOMPLETAT</v>
      </c>
      <c r="I755" s="4" t="s">
        <v>3183</v>
      </c>
      <c r="J755" s="4" t="s">
        <v>3182</v>
      </c>
      <c r="K755" s="4" t="s">
        <v>3183</v>
      </c>
      <c r="L755" s="4"/>
    </row>
    <row r="756" spans="1:12" ht="60" x14ac:dyDescent="0.25">
      <c r="A756" s="27">
        <v>750</v>
      </c>
      <c r="B756" s="21" t="s">
        <v>2750</v>
      </c>
      <c r="C756" s="58" t="s">
        <v>2751</v>
      </c>
      <c r="D756" s="74" t="s">
        <v>2752</v>
      </c>
      <c r="E756" s="98" t="s">
        <v>2753</v>
      </c>
      <c r="G756" s="27"/>
      <c r="H756" s="101" t="str">
        <f t="shared" si="11"/>
        <v>NECOMPLETAT</v>
      </c>
      <c r="I756" s="4" t="s">
        <v>3183</v>
      </c>
      <c r="J756" s="4" t="s">
        <v>3183</v>
      </c>
      <c r="K756" s="4" t="s">
        <v>3180</v>
      </c>
      <c r="L756" s="4"/>
    </row>
    <row r="757" spans="1:12" ht="45" x14ac:dyDescent="0.25">
      <c r="A757" s="27">
        <v>751</v>
      </c>
      <c r="B757" s="21" t="s">
        <v>2754</v>
      </c>
      <c r="C757" s="58" t="s">
        <v>2653</v>
      </c>
      <c r="D757" s="58" t="s">
        <v>2755</v>
      </c>
      <c r="E757" s="84" t="s">
        <v>2756</v>
      </c>
      <c r="G757" s="27"/>
      <c r="H757" s="101" t="str">
        <f t="shared" si="11"/>
        <v>NECOMPLETAT</v>
      </c>
      <c r="I757" s="4" t="s">
        <v>3181</v>
      </c>
      <c r="J757" s="4" t="s">
        <v>3183</v>
      </c>
      <c r="K757" s="4" t="s">
        <v>3183</v>
      </c>
      <c r="L757" s="4"/>
    </row>
    <row r="758" spans="1:12" ht="45" x14ac:dyDescent="0.25">
      <c r="A758" s="27">
        <v>752</v>
      </c>
      <c r="B758" s="21" t="s">
        <v>2757</v>
      </c>
      <c r="C758" s="58" t="s">
        <v>2758</v>
      </c>
      <c r="D758" s="58" t="s">
        <v>2759</v>
      </c>
      <c r="E758" s="84" t="s">
        <v>2760</v>
      </c>
      <c r="G758" s="27"/>
      <c r="H758" s="101" t="str">
        <f t="shared" si="11"/>
        <v>NECOMPLETAT</v>
      </c>
      <c r="I758" s="4" t="s">
        <v>3181</v>
      </c>
      <c r="J758" s="4" t="s">
        <v>3183</v>
      </c>
      <c r="K758" s="4" t="s">
        <v>3183</v>
      </c>
      <c r="L758" s="4"/>
    </row>
    <row r="759" spans="1:12" ht="45" x14ac:dyDescent="0.25">
      <c r="A759" s="27">
        <v>753</v>
      </c>
      <c r="B759" s="21" t="s">
        <v>2761</v>
      </c>
      <c r="C759" s="58" t="s">
        <v>2762</v>
      </c>
      <c r="D759" s="58" t="s">
        <v>2763</v>
      </c>
      <c r="E759" s="84" t="s">
        <v>2764</v>
      </c>
      <c r="G759" s="27"/>
      <c r="H759" s="101" t="str">
        <f t="shared" si="11"/>
        <v>NECOMPLETAT</v>
      </c>
      <c r="I759" s="4" t="s">
        <v>3183</v>
      </c>
      <c r="J759" s="4" t="s">
        <v>3182</v>
      </c>
      <c r="K759" s="4" t="s">
        <v>3183</v>
      </c>
      <c r="L759" s="4"/>
    </row>
    <row r="760" spans="1:12" ht="30" x14ac:dyDescent="0.25">
      <c r="A760" s="27">
        <v>754</v>
      </c>
      <c r="B760" s="21" t="s">
        <v>2765</v>
      </c>
      <c r="C760" s="58" t="s">
        <v>2766</v>
      </c>
      <c r="D760" s="58" t="s">
        <v>2767</v>
      </c>
      <c r="E760" s="84" t="s">
        <v>2768</v>
      </c>
      <c r="G760" s="27"/>
      <c r="H760" s="101" t="str">
        <f t="shared" si="11"/>
        <v>NECOMPLETAT</v>
      </c>
      <c r="I760" s="4" t="s">
        <v>3183</v>
      </c>
      <c r="J760" s="4" t="s">
        <v>3182</v>
      </c>
      <c r="K760" s="4" t="s">
        <v>3183</v>
      </c>
      <c r="L760" s="4"/>
    </row>
    <row r="761" spans="1:12" ht="60" x14ac:dyDescent="0.25">
      <c r="A761" s="27">
        <v>755</v>
      </c>
      <c r="B761" s="21" t="s">
        <v>2769</v>
      </c>
      <c r="C761" s="58" t="s">
        <v>2770</v>
      </c>
      <c r="D761" s="58" t="s">
        <v>1577</v>
      </c>
      <c r="E761" s="84" t="s">
        <v>2771</v>
      </c>
      <c r="G761" s="27"/>
      <c r="H761" s="101" t="str">
        <f t="shared" si="11"/>
        <v>NECOMPLETAT</v>
      </c>
      <c r="I761" s="4" t="s">
        <v>3183</v>
      </c>
      <c r="J761" s="4" t="s">
        <v>3183</v>
      </c>
      <c r="K761" s="4" t="s">
        <v>3180</v>
      </c>
      <c r="L761" s="4"/>
    </row>
    <row r="762" spans="1:12" ht="90" x14ac:dyDescent="0.25">
      <c r="A762" s="27">
        <v>756</v>
      </c>
      <c r="B762" s="22" t="s">
        <v>2772</v>
      </c>
      <c r="C762" s="74" t="s">
        <v>2773</v>
      </c>
      <c r="D762" s="74" t="s">
        <v>2705</v>
      </c>
      <c r="E762" s="98" t="s">
        <v>2706</v>
      </c>
      <c r="G762" s="27"/>
      <c r="H762" s="101" t="str">
        <f t="shared" si="11"/>
        <v>NECOMPLETAT</v>
      </c>
      <c r="I762" s="4" t="s">
        <v>3183</v>
      </c>
      <c r="J762" s="4" t="s">
        <v>3182</v>
      </c>
      <c r="K762" s="4" t="s">
        <v>3183</v>
      </c>
      <c r="L762" s="4"/>
    </row>
    <row r="763" spans="1:12" ht="75" x14ac:dyDescent="0.25">
      <c r="A763" s="27">
        <v>757</v>
      </c>
      <c r="B763" s="21" t="s">
        <v>2774</v>
      </c>
      <c r="C763" s="58" t="s">
        <v>2775</v>
      </c>
      <c r="D763" s="58" t="s">
        <v>2776</v>
      </c>
      <c r="E763" s="84" t="s">
        <v>2777</v>
      </c>
      <c r="G763" s="27"/>
      <c r="H763" s="101" t="str">
        <f t="shared" si="11"/>
        <v>NECOMPLETAT</v>
      </c>
      <c r="I763" s="4" t="s">
        <v>3181</v>
      </c>
      <c r="J763" s="4" t="s">
        <v>3183</v>
      </c>
      <c r="K763" s="4" t="s">
        <v>3183</v>
      </c>
      <c r="L763" s="4"/>
    </row>
    <row r="764" spans="1:12" ht="105" x14ac:dyDescent="0.25">
      <c r="A764" s="27">
        <v>758</v>
      </c>
      <c r="B764" s="21" t="s">
        <v>2778</v>
      </c>
      <c r="C764" s="75" t="s">
        <v>2779</v>
      </c>
      <c r="D764" s="58" t="s">
        <v>2780</v>
      </c>
      <c r="E764" s="84" t="s">
        <v>2781</v>
      </c>
      <c r="G764" s="27"/>
      <c r="H764" s="101" t="str">
        <f t="shared" si="11"/>
        <v>NECOMPLETAT</v>
      </c>
      <c r="I764" s="4" t="s">
        <v>3181</v>
      </c>
      <c r="J764" s="4" t="s">
        <v>3183</v>
      </c>
      <c r="K764" s="4" t="s">
        <v>3183</v>
      </c>
      <c r="L764" s="4"/>
    </row>
    <row r="765" spans="1:12" ht="60" x14ac:dyDescent="0.25">
      <c r="A765" s="27">
        <v>759</v>
      </c>
      <c r="B765" s="21" t="s">
        <v>2782</v>
      </c>
      <c r="C765" s="58" t="s">
        <v>2783</v>
      </c>
      <c r="D765" s="58" t="s">
        <v>2784</v>
      </c>
      <c r="E765" s="84" t="s">
        <v>2785</v>
      </c>
      <c r="G765" s="27"/>
      <c r="H765" s="101" t="str">
        <f t="shared" si="11"/>
        <v>NECOMPLETAT</v>
      </c>
      <c r="I765" s="4" t="s">
        <v>3183</v>
      </c>
      <c r="J765" s="4" t="s">
        <v>3183</v>
      </c>
      <c r="K765" s="4" t="s">
        <v>3180</v>
      </c>
      <c r="L765" s="4"/>
    </row>
    <row r="766" spans="1:12" ht="120" x14ac:dyDescent="0.25">
      <c r="A766" s="27">
        <v>760</v>
      </c>
      <c r="B766" s="21" t="s">
        <v>2786</v>
      </c>
      <c r="C766" s="58" t="s">
        <v>2787</v>
      </c>
      <c r="D766" s="58" t="s">
        <v>2788</v>
      </c>
      <c r="E766" s="84" t="s">
        <v>2789</v>
      </c>
      <c r="G766" s="27"/>
      <c r="H766" s="101" t="str">
        <f t="shared" si="11"/>
        <v>NECOMPLETAT</v>
      </c>
      <c r="I766" s="4" t="s">
        <v>3183</v>
      </c>
      <c r="J766" s="4" t="s">
        <v>3182</v>
      </c>
      <c r="K766" s="4" t="s">
        <v>3183</v>
      </c>
      <c r="L766" s="4"/>
    </row>
    <row r="767" spans="1:12" ht="90" x14ac:dyDescent="0.25">
      <c r="A767" s="27">
        <v>761</v>
      </c>
      <c r="B767" s="21" t="s">
        <v>2790</v>
      </c>
      <c r="C767" s="58" t="s">
        <v>2791</v>
      </c>
      <c r="D767" s="58" t="s">
        <v>2792</v>
      </c>
      <c r="E767" s="84" t="s">
        <v>2793</v>
      </c>
      <c r="G767" s="27"/>
      <c r="H767" s="101" t="str">
        <f t="shared" si="11"/>
        <v>NECOMPLETAT</v>
      </c>
      <c r="I767" s="4" t="s">
        <v>3181</v>
      </c>
      <c r="J767" s="4" t="s">
        <v>3183</v>
      </c>
      <c r="K767" s="4" t="s">
        <v>3183</v>
      </c>
      <c r="L767" s="4"/>
    </row>
    <row r="768" spans="1:12" ht="45" x14ac:dyDescent="0.25">
      <c r="A768" s="27">
        <v>762</v>
      </c>
      <c r="B768" s="21" t="s">
        <v>2794</v>
      </c>
      <c r="C768" s="58" t="s">
        <v>2795</v>
      </c>
      <c r="D768" s="58" t="s">
        <v>2796</v>
      </c>
      <c r="E768" s="84" t="s">
        <v>2797</v>
      </c>
      <c r="G768" s="27"/>
      <c r="H768" s="101" t="str">
        <f t="shared" si="11"/>
        <v>NECOMPLETAT</v>
      </c>
      <c r="I768" s="4" t="s">
        <v>3183</v>
      </c>
      <c r="J768" s="4" t="s">
        <v>3182</v>
      </c>
      <c r="K768" s="4" t="s">
        <v>3183</v>
      </c>
      <c r="L768" s="4"/>
    </row>
    <row r="769" spans="1:12" ht="30" x14ac:dyDescent="0.25">
      <c r="A769" s="27">
        <v>763</v>
      </c>
      <c r="B769" s="21" t="s">
        <v>2798</v>
      </c>
      <c r="C769" s="73" t="s">
        <v>2799</v>
      </c>
      <c r="D769" s="73" t="s">
        <v>2800</v>
      </c>
      <c r="E769" s="84" t="s">
        <v>2801</v>
      </c>
      <c r="G769" s="27"/>
      <c r="H769" s="101" t="str">
        <f t="shared" si="11"/>
        <v>NECOMPLETAT</v>
      </c>
      <c r="I769" s="4" t="s">
        <v>3183</v>
      </c>
      <c r="J769" s="4" t="s">
        <v>3183</v>
      </c>
      <c r="K769" s="4" t="s">
        <v>3180</v>
      </c>
      <c r="L769" s="4"/>
    </row>
    <row r="770" spans="1:12" ht="60" x14ac:dyDescent="0.25">
      <c r="A770" s="27">
        <v>764</v>
      </c>
      <c r="B770" s="21" t="s">
        <v>2802</v>
      </c>
      <c r="C770" s="58" t="s">
        <v>2803</v>
      </c>
      <c r="D770" s="58" t="s">
        <v>2804</v>
      </c>
      <c r="E770" s="84" t="s">
        <v>2805</v>
      </c>
      <c r="G770" s="27"/>
      <c r="H770" s="101" t="str">
        <f t="shared" si="11"/>
        <v>NECOMPLETAT</v>
      </c>
      <c r="I770" s="4" t="s">
        <v>3183</v>
      </c>
      <c r="J770" s="4" t="s">
        <v>3182</v>
      </c>
      <c r="K770" s="4" t="s">
        <v>3183</v>
      </c>
      <c r="L770" s="4"/>
    </row>
    <row r="771" spans="1:12" ht="45" x14ac:dyDescent="0.25">
      <c r="A771" s="27">
        <v>765</v>
      </c>
      <c r="B771" s="21" t="s">
        <v>2806</v>
      </c>
      <c r="C771" s="58" t="s">
        <v>2807</v>
      </c>
      <c r="D771" s="58" t="s">
        <v>2808</v>
      </c>
      <c r="E771" s="84" t="s">
        <v>2809</v>
      </c>
      <c r="G771" s="27"/>
      <c r="H771" s="101" t="str">
        <f t="shared" si="11"/>
        <v>NECOMPLETAT</v>
      </c>
      <c r="I771" s="4" t="s">
        <v>3183</v>
      </c>
      <c r="J771" s="4" t="s">
        <v>3182</v>
      </c>
      <c r="K771" s="4" t="s">
        <v>3183</v>
      </c>
      <c r="L771" s="4"/>
    </row>
    <row r="772" spans="1:12" ht="60" x14ac:dyDescent="0.25">
      <c r="A772" s="27">
        <v>766</v>
      </c>
      <c r="B772" s="21" t="s">
        <v>2810</v>
      </c>
      <c r="C772" s="58" t="s">
        <v>2811</v>
      </c>
      <c r="D772" s="58" t="s">
        <v>2812</v>
      </c>
      <c r="E772" s="84" t="s">
        <v>2813</v>
      </c>
      <c r="G772" s="27"/>
      <c r="H772" s="101" t="str">
        <f t="shared" si="11"/>
        <v>NECOMPLETAT</v>
      </c>
      <c r="I772" s="4" t="s">
        <v>3183</v>
      </c>
      <c r="J772" s="4" t="s">
        <v>3183</v>
      </c>
      <c r="K772" s="4" t="s">
        <v>3180</v>
      </c>
      <c r="L772" s="4"/>
    </row>
    <row r="773" spans="1:12" ht="45" x14ac:dyDescent="0.25">
      <c r="A773" s="27">
        <v>767</v>
      </c>
      <c r="B773" s="21" t="s">
        <v>2814</v>
      </c>
      <c r="C773" s="58" t="s">
        <v>2815</v>
      </c>
      <c r="D773" s="58" t="s">
        <v>2816</v>
      </c>
      <c r="E773" s="84" t="s">
        <v>2817</v>
      </c>
      <c r="G773" s="27"/>
      <c r="H773" s="101" t="str">
        <f t="shared" si="11"/>
        <v>NECOMPLETAT</v>
      </c>
      <c r="I773" s="4" t="s">
        <v>3183</v>
      </c>
      <c r="J773" s="4" t="s">
        <v>3183</v>
      </c>
      <c r="K773" s="4" t="s">
        <v>3180</v>
      </c>
      <c r="L773" s="4"/>
    </row>
    <row r="774" spans="1:12" ht="105" x14ac:dyDescent="0.25">
      <c r="A774" s="27">
        <v>768</v>
      </c>
      <c r="B774" s="21" t="s">
        <v>2818</v>
      </c>
      <c r="C774" s="58" t="s">
        <v>2819</v>
      </c>
      <c r="D774" s="58" t="s">
        <v>2820</v>
      </c>
      <c r="E774" s="84" t="s">
        <v>2821</v>
      </c>
      <c r="G774" s="27"/>
      <c r="H774" s="101" t="str">
        <f t="shared" si="11"/>
        <v>NECOMPLETAT</v>
      </c>
      <c r="I774" s="4" t="s">
        <v>3183</v>
      </c>
      <c r="J774" s="4" t="s">
        <v>3183</v>
      </c>
      <c r="K774" s="4" t="s">
        <v>3180</v>
      </c>
      <c r="L774" s="4"/>
    </row>
    <row r="775" spans="1:12" ht="189" customHeight="1" x14ac:dyDescent="0.25">
      <c r="A775" s="27">
        <v>769</v>
      </c>
      <c r="B775" s="21" t="s">
        <v>2822</v>
      </c>
      <c r="C775" s="58" t="s">
        <v>2823</v>
      </c>
      <c r="D775" s="58" t="s">
        <v>2824</v>
      </c>
      <c r="E775" s="84" t="s">
        <v>2825</v>
      </c>
      <c r="G775" s="27"/>
      <c r="H775" s="101" t="str">
        <f t="shared" si="11"/>
        <v>NECOMPLETAT</v>
      </c>
      <c r="I775" s="4" t="s">
        <v>3183</v>
      </c>
      <c r="J775" s="4" t="s">
        <v>3183</v>
      </c>
      <c r="K775" s="4" t="s">
        <v>3180</v>
      </c>
      <c r="L775" s="4"/>
    </row>
    <row r="776" spans="1:12" ht="45" x14ac:dyDescent="0.25">
      <c r="A776" s="27">
        <v>770</v>
      </c>
      <c r="B776" s="21" t="s">
        <v>2826</v>
      </c>
      <c r="C776" s="58" t="s">
        <v>2827</v>
      </c>
      <c r="D776" s="58" t="s">
        <v>2828</v>
      </c>
      <c r="E776" s="84" t="s">
        <v>2829</v>
      </c>
      <c r="G776" s="27"/>
      <c r="H776" s="101" t="str">
        <f t="shared" ref="H776:H839" si="12">IF(G776=0,"NECOMPLETAT",IF(OR(G776=I776,G776=J776,G776=K776),"CORECT","GRESIT"))</f>
        <v>NECOMPLETAT</v>
      </c>
      <c r="I776" s="4" t="s">
        <v>3181</v>
      </c>
      <c r="J776" s="4" t="s">
        <v>3183</v>
      </c>
      <c r="K776" s="4" t="s">
        <v>3183</v>
      </c>
      <c r="L776" s="4"/>
    </row>
    <row r="777" spans="1:12" ht="60" x14ac:dyDescent="0.25">
      <c r="A777" s="27">
        <v>771</v>
      </c>
      <c r="B777" s="21" t="s">
        <v>2830</v>
      </c>
      <c r="C777" s="58" t="s">
        <v>2831</v>
      </c>
      <c r="D777" s="58" t="s">
        <v>2832</v>
      </c>
      <c r="E777" s="84" t="s">
        <v>2833</v>
      </c>
      <c r="G777" s="27"/>
      <c r="H777" s="101" t="str">
        <f t="shared" si="12"/>
        <v>NECOMPLETAT</v>
      </c>
      <c r="I777" s="4" t="s">
        <v>3183</v>
      </c>
      <c r="J777" s="4" t="s">
        <v>3182</v>
      </c>
      <c r="K777" s="4" t="s">
        <v>3183</v>
      </c>
      <c r="L777" s="4"/>
    </row>
    <row r="778" spans="1:12" ht="60" x14ac:dyDescent="0.25">
      <c r="A778" s="27">
        <v>772</v>
      </c>
      <c r="B778" s="21" t="s">
        <v>2834</v>
      </c>
      <c r="C778" s="58" t="s">
        <v>2835</v>
      </c>
      <c r="D778" s="58" t="s">
        <v>2836</v>
      </c>
      <c r="E778" s="84" t="s">
        <v>2837</v>
      </c>
      <c r="G778" s="27"/>
      <c r="H778" s="101" t="str">
        <f t="shared" si="12"/>
        <v>NECOMPLETAT</v>
      </c>
      <c r="I778" s="4" t="s">
        <v>3181</v>
      </c>
      <c r="J778" s="4" t="s">
        <v>3183</v>
      </c>
      <c r="K778" s="4" t="s">
        <v>3183</v>
      </c>
      <c r="L778" s="4"/>
    </row>
    <row r="779" spans="1:12" ht="45" x14ac:dyDescent="0.25">
      <c r="A779" s="27">
        <v>773</v>
      </c>
      <c r="B779" s="21" t="s">
        <v>2838</v>
      </c>
      <c r="C779" s="58" t="s">
        <v>2839</v>
      </c>
      <c r="D779" s="58" t="s">
        <v>2840</v>
      </c>
      <c r="E779" s="84" t="s">
        <v>2841</v>
      </c>
      <c r="G779" s="27"/>
      <c r="H779" s="101" t="str">
        <f t="shared" si="12"/>
        <v>NECOMPLETAT</v>
      </c>
      <c r="I779" s="4" t="s">
        <v>3181</v>
      </c>
      <c r="J779" s="4" t="s">
        <v>3183</v>
      </c>
      <c r="K779" s="4" t="s">
        <v>3183</v>
      </c>
      <c r="L779" s="4"/>
    </row>
    <row r="780" spans="1:12" ht="90" x14ac:dyDescent="0.25">
      <c r="A780" s="27">
        <v>774</v>
      </c>
      <c r="B780" s="21" t="s">
        <v>2842</v>
      </c>
      <c r="C780" s="74" t="s">
        <v>2843</v>
      </c>
      <c r="D780" s="74" t="s">
        <v>2844</v>
      </c>
      <c r="E780" s="98" t="s">
        <v>2845</v>
      </c>
      <c r="G780" s="27"/>
      <c r="H780" s="101" t="str">
        <f t="shared" si="12"/>
        <v>NECOMPLETAT</v>
      </c>
      <c r="I780" s="4" t="s">
        <v>3181</v>
      </c>
      <c r="J780" s="4" t="s">
        <v>3183</v>
      </c>
      <c r="K780" s="4" t="s">
        <v>3183</v>
      </c>
      <c r="L780" s="4"/>
    </row>
    <row r="781" spans="1:12" ht="75" x14ac:dyDescent="0.25">
      <c r="A781" s="27">
        <v>775</v>
      </c>
      <c r="B781" s="21" t="s">
        <v>2846</v>
      </c>
      <c r="C781" s="58" t="s">
        <v>2847</v>
      </c>
      <c r="D781" s="58" t="s">
        <v>2848</v>
      </c>
      <c r="E781" s="84" t="s">
        <v>2682</v>
      </c>
      <c r="G781" s="27"/>
      <c r="H781" s="101" t="str">
        <f t="shared" si="12"/>
        <v>NECOMPLETAT</v>
      </c>
      <c r="I781" s="4" t="s">
        <v>3183</v>
      </c>
      <c r="J781" s="4" t="s">
        <v>3182</v>
      </c>
      <c r="K781" s="4" t="s">
        <v>3183</v>
      </c>
      <c r="L781" s="4"/>
    </row>
    <row r="782" spans="1:12" ht="75" x14ac:dyDescent="0.25">
      <c r="A782" s="27">
        <v>776</v>
      </c>
      <c r="B782" s="21" t="s">
        <v>2849</v>
      </c>
      <c r="C782" s="58" t="s">
        <v>2850</v>
      </c>
      <c r="D782" s="58" t="s">
        <v>2851</v>
      </c>
      <c r="E782" s="84" t="s">
        <v>2680</v>
      </c>
      <c r="G782" s="27"/>
      <c r="H782" s="101" t="str">
        <f t="shared" si="12"/>
        <v>NECOMPLETAT</v>
      </c>
      <c r="I782" s="4" t="s">
        <v>3181</v>
      </c>
      <c r="J782" s="4" t="s">
        <v>3183</v>
      </c>
      <c r="K782" s="4" t="s">
        <v>3183</v>
      </c>
      <c r="L782" s="4"/>
    </row>
    <row r="783" spans="1:12" ht="30" x14ac:dyDescent="0.25">
      <c r="A783" s="27">
        <v>777</v>
      </c>
      <c r="B783" s="21" t="s">
        <v>2852</v>
      </c>
      <c r="C783" s="58" t="s">
        <v>2853</v>
      </c>
      <c r="D783" s="58" t="s">
        <v>2854</v>
      </c>
      <c r="E783" s="84" t="s">
        <v>2855</v>
      </c>
      <c r="G783" s="27"/>
      <c r="H783" s="101" t="str">
        <f t="shared" si="12"/>
        <v>NECOMPLETAT</v>
      </c>
      <c r="I783" s="4" t="s">
        <v>3181</v>
      </c>
      <c r="J783" s="4" t="s">
        <v>3183</v>
      </c>
      <c r="K783" s="4" t="s">
        <v>3183</v>
      </c>
      <c r="L783" s="4"/>
    </row>
    <row r="784" spans="1:12" ht="75" x14ac:dyDescent="0.25">
      <c r="A784" s="27">
        <v>778</v>
      </c>
      <c r="B784" s="21" t="s">
        <v>2856</v>
      </c>
      <c r="C784" s="58" t="s">
        <v>2857</v>
      </c>
      <c r="D784" s="58" t="s">
        <v>2858</v>
      </c>
      <c r="E784" s="84" t="s">
        <v>2859</v>
      </c>
      <c r="G784" s="27"/>
      <c r="H784" s="101" t="str">
        <f t="shared" si="12"/>
        <v>NECOMPLETAT</v>
      </c>
      <c r="I784" s="4" t="s">
        <v>3183</v>
      </c>
      <c r="J784" s="4" t="s">
        <v>3182</v>
      </c>
      <c r="K784" s="4" t="s">
        <v>3183</v>
      </c>
      <c r="L784" s="4"/>
    </row>
    <row r="785" spans="1:12" ht="75" x14ac:dyDescent="0.25">
      <c r="A785" s="27">
        <v>779</v>
      </c>
      <c r="B785" s="21" t="s">
        <v>2856</v>
      </c>
      <c r="C785" s="58" t="s">
        <v>2860</v>
      </c>
      <c r="D785" s="58" t="s">
        <v>2861</v>
      </c>
      <c r="E785" s="84" t="s">
        <v>2859</v>
      </c>
      <c r="G785" s="27"/>
      <c r="H785" s="101" t="str">
        <f t="shared" si="12"/>
        <v>NECOMPLETAT</v>
      </c>
      <c r="I785" s="4" t="s">
        <v>3181</v>
      </c>
      <c r="J785" s="4" t="s">
        <v>3183</v>
      </c>
      <c r="K785" s="4" t="s">
        <v>3183</v>
      </c>
      <c r="L785" s="4"/>
    </row>
    <row r="786" spans="1:12" ht="105" x14ac:dyDescent="0.25">
      <c r="A786" s="27">
        <v>780</v>
      </c>
      <c r="B786" s="21" t="s">
        <v>2862</v>
      </c>
      <c r="C786" s="58" t="s">
        <v>2863</v>
      </c>
      <c r="D786" s="58" t="s">
        <v>2864</v>
      </c>
      <c r="E786" s="84" t="s">
        <v>2865</v>
      </c>
      <c r="G786" s="27"/>
      <c r="H786" s="101" t="str">
        <f t="shared" si="12"/>
        <v>NECOMPLETAT</v>
      </c>
      <c r="I786" s="4" t="s">
        <v>3183</v>
      </c>
      <c r="J786" s="4" t="s">
        <v>3182</v>
      </c>
      <c r="K786" s="4" t="s">
        <v>3183</v>
      </c>
      <c r="L786" s="4"/>
    </row>
    <row r="787" spans="1:12" ht="75" x14ac:dyDescent="0.25">
      <c r="A787" s="27">
        <v>781</v>
      </c>
      <c r="B787" s="21" t="s">
        <v>2866</v>
      </c>
      <c r="C787" s="58" t="s">
        <v>2867</v>
      </c>
      <c r="D787" s="58" t="s">
        <v>2868</v>
      </c>
      <c r="E787" s="84" t="s">
        <v>2869</v>
      </c>
      <c r="G787" s="27"/>
      <c r="H787" s="101" t="str">
        <f t="shared" si="12"/>
        <v>NECOMPLETAT</v>
      </c>
      <c r="I787" s="4" t="s">
        <v>3181</v>
      </c>
      <c r="J787" s="4" t="s">
        <v>3183</v>
      </c>
      <c r="K787" s="4" t="s">
        <v>3183</v>
      </c>
      <c r="L787" s="4"/>
    </row>
    <row r="788" spans="1:12" ht="45" x14ac:dyDescent="0.25">
      <c r="A788" s="27">
        <v>782</v>
      </c>
      <c r="B788" s="21" t="s">
        <v>2870</v>
      </c>
      <c r="C788" s="58" t="s">
        <v>2871</v>
      </c>
      <c r="D788" s="58" t="s">
        <v>2872</v>
      </c>
      <c r="E788" s="84" t="s">
        <v>2873</v>
      </c>
      <c r="G788" s="27"/>
      <c r="H788" s="101" t="str">
        <f t="shared" si="12"/>
        <v>NECOMPLETAT</v>
      </c>
      <c r="I788" s="4" t="s">
        <v>3183</v>
      </c>
      <c r="J788" s="4" t="s">
        <v>3182</v>
      </c>
      <c r="K788" s="4" t="s">
        <v>3183</v>
      </c>
      <c r="L788" s="4"/>
    </row>
    <row r="789" spans="1:12" ht="60" x14ac:dyDescent="0.25">
      <c r="A789" s="27">
        <v>783</v>
      </c>
      <c r="B789" s="21" t="s">
        <v>2874</v>
      </c>
      <c r="C789" s="58" t="s">
        <v>2875</v>
      </c>
      <c r="D789" s="58" t="s">
        <v>2876</v>
      </c>
      <c r="E789" s="84" t="s">
        <v>2877</v>
      </c>
      <c r="G789" s="27"/>
      <c r="H789" s="101" t="str">
        <f t="shared" si="12"/>
        <v>NECOMPLETAT</v>
      </c>
      <c r="I789" s="4" t="s">
        <v>3181</v>
      </c>
      <c r="J789" s="4" t="s">
        <v>3183</v>
      </c>
      <c r="K789" s="4" t="s">
        <v>3183</v>
      </c>
      <c r="L789" s="4"/>
    </row>
    <row r="790" spans="1:12" ht="150" x14ac:dyDescent="0.25">
      <c r="A790" s="27">
        <v>784</v>
      </c>
      <c r="B790" s="21" t="s">
        <v>2878</v>
      </c>
      <c r="C790" s="58" t="s">
        <v>2879</v>
      </c>
      <c r="D790" s="58" t="s">
        <v>2880</v>
      </c>
      <c r="E790" s="84" t="s">
        <v>2881</v>
      </c>
      <c r="G790" s="27"/>
      <c r="H790" s="101" t="str">
        <f t="shared" si="12"/>
        <v>NECOMPLETAT</v>
      </c>
      <c r="I790" s="4" t="s">
        <v>3181</v>
      </c>
      <c r="J790" s="4" t="s">
        <v>3183</v>
      </c>
      <c r="K790" s="4" t="s">
        <v>3183</v>
      </c>
      <c r="L790" s="4"/>
    </row>
    <row r="791" spans="1:12" ht="135" x14ac:dyDescent="0.25">
      <c r="A791" s="27">
        <v>785</v>
      </c>
      <c r="B791" s="21" t="s">
        <v>2882</v>
      </c>
      <c r="C791" s="58" t="s">
        <v>2883</v>
      </c>
      <c r="D791" s="58" t="s">
        <v>2884</v>
      </c>
      <c r="E791" s="84" t="s">
        <v>2885</v>
      </c>
      <c r="G791" s="27"/>
      <c r="H791" s="101" t="str">
        <f t="shared" si="12"/>
        <v>NECOMPLETAT</v>
      </c>
      <c r="I791" s="4" t="s">
        <v>3183</v>
      </c>
      <c r="J791" s="4" t="s">
        <v>3182</v>
      </c>
      <c r="K791" s="4" t="s">
        <v>3183</v>
      </c>
      <c r="L791" s="4"/>
    </row>
    <row r="792" spans="1:12" ht="90" x14ac:dyDescent="0.25">
      <c r="A792" s="27">
        <v>786</v>
      </c>
      <c r="B792" s="21" t="s">
        <v>2886</v>
      </c>
      <c r="C792" s="58" t="s">
        <v>2887</v>
      </c>
      <c r="D792" s="58" t="s">
        <v>2888</v>
      </c>
      <c r="E792" s="84" t="s">
        <v>2889</v>
      </c>
      <c r="G792" s="27"/>
      <c r="H792" s="101" t="str">
        <f t="shared" si="12"/>
        <v>NECOMPLETAT</v>
      </c>
      <c r="I792" s="4" t="s">
        <v>3181</v>
      </c>
      <c r="J792" s="4" t="s">
        <v>3183</v>
      </c>
      <c r="K792" s="4" t="s">
        <v>3183</v>
      </c>
      <c r="L792" s="4"/>
    </row>
    <row r="793" spans="1:12" ht="90" x14ac:dyDescent="0.25">
      <c r="A793" s="27">
        <v>787</v>
      </c>
      <c r="B793" s="21" t="s">
        <v>2890</v>
      </c>
      <c r="C793" s="58" t="s">
        <v>2891</v>
      </c>
      <c r="D793" s="58" t="s">
        <v>2892</v>
      </c>
      <c r="E793" s="84" t="s">
        <v>2893</v>
      </c>
      <c r="G793" s="27"/>
      <c r="H793" s="101" t="str">
        <f t="shared" si="12"/>
        <v>NECOMPLETAT</v>
      </c>
      <c r="I793" s="4" t="s">
        <v>3183</v>
      </c>
      <c r="J793" s="4" t="s">
        <v>3182</v>
      </c>
      <c r="K793" s="4" t="s">
        <v>3183</v>
      </c>
      <c r="L793" s="4"/>
    </row>
    <row r="794" spans="1:12" ht="60" x14ac:dyDescent="0.25">
      <c r="A794" s="27">
        <v>788</v>
      </c>
      <c r="B794" s="55" t="s">
        <v>2894</v>
      </c>
      <c r="C794" s="58" t="s">
        <v>2895</v>
      </c>
      <c r="D794" s="58" t="s">
        <v>2896</v>
      </c>
      <c r="E794" s="84" t="s">
        <v>2897</v>
      </c>
      <c r="G794" s="27"/>
      <c r="H794" s="101" t="str">
        <f t="shared" si="12"/>
        <v>NECOMPLETAT</v>
      </c>
      <c r="I794" s="4" t="s">
        <v>3183</v>
      </c>
      <c r="J794" s="4" t="s">
        <v>3183</v>
      </c>
      <c r="K794" s="4" t="s">
        <v>3183</v>
      </c>
      <c r="L794" s="4"/>
    </row>
    <row r="795" spans="1:12" ht="45" x14ac:dyDescent="0.25">
      <c r="A795" s="27">
        <v>789</v>
      </c>
      <c r="B795" s="21" t="s">
        <v>2898</v>
      </c>
      <c r="C795" s="58" t="s">
        <v>2899</v>
      </c>
      <c r="D795" s="58" t="s">
        <v>2900</v>
      </c>
      <c r="E795" s="84" t="s">
        <v>2901</v>
      </c>
      <c r="G795" s="27"/>
      <c r="H795" s="101" t="str">
        <f t="shared" si="12"/>
        <v>NECOMPLETAT</v>
      </c>
      <c r="I795" s="4" t="s">
        <v>3183</v>
      </c>
      <c r="J795" s="4" t="s">
        <v>3182</v>
      </c>
      <c r="K795" s="4" t="s">
        <v>3183</v>
      </c>
      <c r="L795" s="4"/>
    </row>
    <row r="796" spans="1:12" ht="108.6" customHeight="1" x14ac:dyDescent="0.25">
      <c r="A796" s="27">
        <v>790</v>
      </c>
      <c r="B796" s="21" t="s">
        <v>2902</v>
      </c>
      <c r="C796" s="58" t="s">
        <v>2903</v>
      </c>
      <c r="D796" s="58" t="s">
        <v>2904</v>
      </c>
      <c r="E796" s="84" t="s">
        <v>2905</v>
      </c>
      <c r="G796" s="27"/>
      <c r="H796" s="101" t="str">
        <f t="shared" si="12"/>
        <v>NECOMPLETAT</v>
      </c>
      <c r="I796" s="4" t="s">
        <v>3183</v>
      </c>
      <c r="J796" s="4" t="s">
        <v>3182</v>
      </c>
      <c r="K796" s="4" t="s">
        <v>3183</v>
      </c>
      <c r="L796" s="4"/>
    </row>
    <row r="797" spans="1:12" ht="135" x14ac:dyDescent="0.25">
      <c r="A797" s="27">
        <v>791</v>
      </c>
      <c r="B797" s="21" t="s">
        <v>2902</v>
      </c>
      <c r="C797" s="58" t="s">
        <v>2906</v>
      </c>
      <c r="D797" s="58" t="s">
        <v>2907</v>
      </c>
      <c r="E797" s="84" t="s">
        <v>2908</v>
      </c>
      <c r="G797" s="27"/>
      <c r="H797" s="101" t="str">
        <f t="shared" si="12"/>
        <v>NECOMPLETAT</v>
      </c>
      <c r="I797" s="4" t="s">
        <v>3181</v>
      </c>
      <c r="J797" s="4" t="s">
        <v>3183</v>
      </c>
      <c r="K797" s="4" t="s">
        <v>3183</v>
      </c>
      <c r="L797" s="4"/>
    </row>
    <row r="798" spans="1:12" ht="90" x14ac:dyDescent="0.25">
      <c r="A798" s="27">
        <v>792</v>
      </c>
      <c r="B798" s="21" t="s">
        <v>2909</v>
      </c>
      <c r="C798" s="58" t="s">
        <v>2910</v>
      </c>
      <c r="D798" s="58" t="s">
        <v>2911</v>
      </c>
      <c r="E798" s="84" t="s">
        <v>2912</v>
      </c>
      <c r="G798" s="27"/>
      <c r="H798" s="101" t="str">
        <f t="shared" si="12"/>
        <v>NECOMPLETAT</v>
      </c>
      <c r="I798" s="4" t="s">
        <v>3183</v>
      </c>
      <c r="J798" s="4" t="s">
        <v>3182</v>
      </c>
      <c r="K798" s="4" t="s">
        <v>3183</v>
      </c>
      <c r="L798" s="4"/>
    </row>
    <row r="799" spans="1:12" ht="60" x14ac:dyDescent="0.25">
      <c r="A799" s="27">
        <v>793</v>
      </c>
      <c r="B799" s="21" t="s">
        <v>2913</v>
      </c>
      <c r="C799" s="58" t="s">
        <v>2914</v>
      </c>
      <c r="D799" s="58" t="s">
        <v>2915</v>
      </c>
      <c r="E799" s="84" t="s">
        <v>2916</v>
      </c>
      <c r="G799" s="27"/>
      <c r="H799" s="101" t="str">
        <f t="shared" si="12"/>
        <v>NECOMPLETAT</v>
      </c>
      <c r="I799" s="4" t="s">
        <v>3181</v>
      </c>
      <c r="J799" s="4" t="s">
        <v>3183</v>
      </c>
      <c r="K799" s="4" t="s">
        <v>3183</v>
      </c>
      <c r="L799" s="4"/>
    </row>
    <row r="800" spans="1:12" ht="120" x14ac:dyDescent="0.25">
      <c r="A800" s="27">
        <v>794</v>
      </c>
      <c r="B800" s="21" t="s">
        <v>2917</v>
      </c>
      <c r="C800" s="74" t="s">
        <v>2918</v>
      </c>
      <c r="D800" s="74" t="s">
        <v>2919</v>
      </c>
      <c r="E800" s="98" t="s">
        <v>2920</v>
      </c>
      <c r="G800" s="27"/>
      <c r="H800" s="101" t="str">
        <f t="shared" si="12"/>
        <v>NECOMPLETAT</v>
      </c>
      <c r="I800" s="4" t="s">
        <v>3181</v>
      </c>
      <c r="J800" s="4" t="s">
        <v>3183</v>
      </c>
      <c r="K800" s="4" t="s">
        <v>3183</v>
      </c>
      <c r="L800" s="4"/>
    </row>
    <row r="801" spans="1:12" ht="45" x14ac:dyDescent="0.25">
      <c r="A801" s="27">
        <v>795</v>
      </c>
      <c r="B801" s="21" t="s">
        <v>2921</v>
      </c>
      <c r="C801" s="58" t="s">
        <v>2922</v>
      </c>
      <c r="D801" s="58" t="s">
        <v>2705</v>
      </c>
      <c r="E801" s="84" t="s">
        <v>2923</v>
      </c>
      <c r="G801" s="27"/>
      <c r="H801" s="101" t="str">
        <f t="shared" si="12"/>
        <v>NECOMPLETAT</v>
      </c>
      <c r="I801" s="4" t="s">
        <v>3183</v>
      </c>
      <c r="J801" s="4" t="s">
        <v>3182</v>
      </c>
      <c r="K801" s="4" t="s">
        <v>3183</v>
      </c>
      <c r="L801" s="4"/>
    </row>
    <row r="802" spans="1:12" ht="120" x14ac:dyDescent="0.25">
      <c r="A802" s="27">
        <v>796</v>
      </c>
      <c r="B802" s="21" t="s">
        <v>2924</v>
      </c>
      <c r="C802" s="76">
        <v>0.05</v>
      </c>
      <c r="D802" s="77" t="s">
        <v>2925</v>
      </c>
      <c r="E802" s="99">
        <v>0.12</v>
      </c>
      <c r="G802" s="27"/>
      <c r="H802" s="101" t="str">
        <f t="shared" si="12"/>
        <v>NECOMPLETAT</v>
      </c>
      <c r="I802" s="4" t="s">
        <v>3183</v>
      </c>
      <c r="J802" s="4" t="s">
        <v>3182</v>
      </c>
      <c r="K802" s="4" t="s">
        <v>3183</v>
      </c>
      <c r="L802" s="4"/>
    </row>
    <row r="803" spans="1:12" ht="105" x14ac:dyDescent="0.25">
      <c r="A803" s="27">
        <v>797</v>
      </c>
      <c r="B803" s="21" t="s">
        <v>2926</v>
      </c>
      <c r="C803" s="58" t="s">
        <v>2927</v>
      </c>
      <c r="D803" s="58" t="s">
        <v>2928</v>
      </c>
      <c r="E803" s="84" t="s">
        <v>2929</v>
      </c>
      <c r="G803" s="27"/>
      <c r="H803" s="101" t="str">
        <f t="shared" si="12"/>
        <v>NECOMPLETAT</v>
      </c>
      <c r="I803" s="4" t="s">
        <v>3183</v>
      </c>
      <c r="J803" s="4" t="s">
        <v>3183</v>
      </c>
      <c r="K803" s="4" t="s">
        <v>3180</v>
      </c>
      <c r="L803" s="4"/>
    </row>
    <row r="804" spans="1:12" ht="60" x14ac:dyDescent="0.25">
      <c r="A804" s="27">
        <v>798</v>
      </c>
      <c r="B804" s="21" t="s">
        <v>2930</v>
      </c>
      <c r="C804" s="58" t="s">
        <v>2931</v>
      </c>
      <c r="D804" s="58" t="s">
        <v>2932</v>
      </c>
      <c r="E804" s="84" t="s">
        <v>2933</v>
      </c>
      <c r="G804" s="27"/>
      <c r="H804" s="101" t="str">
        <f t="shared" si="12"/>
        <v>NECOMPLETAT</v>
      </c>
      <c r="I804" s="4" t="s">
        <v>3183</v>
      </c>
      <c r="J804" s="4" t="s">
        <v>3182</v>
      </c>
      <c r="K804" s="4" t="s">
        <v>3183</v>
      </c>
      <c r="L804" s="4"/>
    </row>
    <row r="805" spans="1:12" ht="94.5" x14ac:dyDescent="0.25">
      <c r="A805" s="27">
        <v>799</v>
      </c>
      <c r="B805" s="24" t="s">
        <v>2934</v>
      </c>
      <c r="C805" s="78" t="s">
        <v>2935</v>
      </c>
      <c r="D805" s="78" t="s">
        <v>2936</v>
      </c>
      <c r="E805" s="100" t="s">
        <v>2937</v>
      </c>
      <c r="G805" s="27"/>
      <c r="H805" s="101" t="str">
        <f t="shared" si="12"/>
        <v>NECOMPLETAT</v>
      </c>
      <c r="I805" s="4" t="s">
        <v>3181</v>
      </c>
      <c r="J805" s="4" t="s">
        <v>3183</v>
      </c>
      <c r="K805" s="4" t="s">
        <v>3183</v>
      </c>
      <c r="L805" s="4"/>
    </row>
    <row r="806" spans="1:12" ht="45" x14ac:dyDescent="0.25">
      <c r="A806" s="27">
        <v>800</v>
      </c>
      <c r="B806" s="21" t="s">
        <v>2938</v>
      </c>
      <c r="C806" s="74" t="s">
        <v>2939</v>
      </c>
      <c r="D806" s="58" t="s">
        <v>2940</v>
      </c>
      <c r="E806" s="84" t="s">
        <v>2941</v>
      </c>
      <c r="G806" s="27"/>
      <c r="H806" s="101" t="str">
        <f t="shared" si="12"/>
        <v>NECOMPLETAT</v>
      </c>
      <c r="I806" s="4" t="s">
        <v>3183</v>
      </c>
      <c r="J806" s="4" t="s">
        <v>3182</v>
      </c>
      <c r="K806" s="4" t="s">
        <v>3183</v>
      </c>
      <c r="L806" s="4"/>
    </row>
    <row r="807" spans="1:12" ht="60" x14ac:dyDescent="0.25">
      <c r="A807" s="27">
        <v>801</v>
      </c>
      <c r="B807" s="21" t="s">
        <v>2942</v>
      </c>
      <c r="C807" s="58" t="s">
        <v>2940</v>
      </c>
      <c r="D807" s="58" t="s">
        <v>2941</v>
      </c>
      <c r="E807" s="84" t="s">
        <v>2943</v>
      </c>
      <c r="G807" s="27"/>
      <c r="H807" s="101" t="str">
        <f t="shared" si="12"/>
        <v>NECOMPLETAT</v>
      </c>
      <c r="I807" s="4" t="s">
        <v>3181</v>
      </c>
      <c r="J807" s="4" t="s">
        <v>3183</v>
      </c>
      <c r="K807" s="4" t="s">
        <v>3183</v>
      </c>
      <c r="L807" s="4"/>
    </row>
    <row r="808" spans="1:12" ht="105" x14ac:dyDescent="0.25">
      <c r="A808" s="27">
        <v>802</v>
      </c>
      <c r="B808" s="21" t="s">
        <v>2944</v>
      </c>
      <c r="C808" s="74" t="s">
        <v>2945</v>
      </c>
      <c r="D808" s="74" t="s">
        <v>2946</v>
      </c>
      <c r="E808" s="84" t="s">
        <v>2947</v>
      </c>
      <c r="G808" s="27"/>
      <c r="H808" s="101" t="str">
        <f t="shared" si="12"/>
        <v>NECOMPLETAT</v>
      </c>
      <c r="I808" s="4" t="s">
        <v>3183</v>
      </c>
      <c r="J808" s="4" t="s">
        <v>3182</v>
      </c>
      <c r="K808" s="4" t="s">
        <v>3183</v>
      </c>
      <c r="L808" s="4"/>
    </row>
    <row r="809" spans="1:12" ht="90" x14ac:dyDescent="0.25">
      <c r="A809" s="27">
        <v>803</v>
      </c>
      <c r="B809" s="21" t="s">
        <v>2944</v>
      </c>
      <c r="C809" s="74" t="s">
        <v>2948</v>
      </c>
      <c r="D809" s="58" t="s">
        <v>2949</v>
      </c>
      <c r="E809" s="98" t="s">
        <v>2950</v>
      </c>
      <c r="G809" s="27"/>
      <c r="H809" s="101" t="str">
        <f t="shared" si="12"/>
        <v>NECOMPLETAT</v>
      </c>
      <c r="I809" s="4" t="s">
        <v>3181</v>
      </c>
      <c r="J809" s="4" t="s">
        <v>3183</v>
      </c>
      <c r="K809" s="4" t="s">
        <v>3183</v>
      </c>
      <c r="L809" s="4"/>
    </row>
    <row r="810" spans="1:12" ht="45" x14ac:dyDescent="0.25">
      <c r="A810" s="27">
        <v>804</v>
      </c>
      <c r="B810" s="21" t="s">
        <v>2951</v>
      </c>
      <c r="C810" s="74" t="s">
        <v>2952</v>
      </c>
      <c r="D810" s="74" t="s">
        <v>2953</v>
      </c>
      <c r="E810" s="98" t="s">
        <v>2954</v>
      </c>
      <c r="G810" s="27"/>
      <c r="H810" s="101" t="str">
        <f t="shared" si="12"/>
        <v>NECOMPLETAT</v>
      </c>
      <c r="I810" s="4" t="s">
        <v>3183</v>
      </c>
      <c r="J810" s="4" t="s">
        <v>3182</v>
      </c>
      <c r="K810" s="4" t="s">
        <v>3183</v>
      </c>
      <c r="L810" s="4"/>
    </row>
    <row r="811" spans="1:12" ht="45" x14ac:dyDescent="0.25">
      <c r="A811" s="27">
        <v>805</v>
      </c>
      <c r="B811" s="21" t="s">
        <v>2951</v>
      </c>
      <c r="C811" s="74" t="s">
        <v>2955</v>
      </c>
      <c r="D811" s="74" t="s">
        <v>2956</v>
      </c>
      <c r="E811" s="98" t="s">
        <v>2954</v>
      </c>
      <c r="G811" s="27"/>
      <c r="H811" s="101" t="str">
        <f t="shared" si="12"/>
        <v>NECOMPLETAT</v>
      </c>
      <c r="I811" s="4" t="s">
        <v>3181</v>
      </c>
      <c r="J811" s="4" t="s">
        <v>3183</v>
      </c>
      <c r="K811" s="4" t="s">
        <v>3183</v>
      </c>
      <c r="L811" s="4"/>
    </row>
    <row r="812" spans="1:12" ht="60" x14ac:dyDescent="0.25">
      <c r="A812" s="27">
        <v>806</v>
      </c>
      <c r="B812" s="21" t="s">
        <v>2951</v>
      </c>
      <c r="C812" s="74" t="s">
        <v>2957</v>
      </c>
      <c r="D812" s="74" t="s">
        <v>2752</v>
      </c>
      <c r="E812" s="84" t="s">
        <v>2751</v>
      </c>
      <c r="G812" s="27"/>
      <c r="H812" s="101" t="str">
        <f t="shared" si="12"/>
        <v>NECOMPLETAT</v>
      </c>
      <c r="I812" s="4" t="s">
        <v>3181</v>
      </c>
      <c r="J812" s="4" t="s">
        <v>3183</v>
      </c>
      <c r="K812" s="4" t="s">
        <v>3183</v>
      </c>
      <c r="L812" s="4"/>
    </row>
    <row r="813" spans="1:12" ht="60" x14ac:dyDescent="0.25">
      <c r="A813" s="27">
        <v>807</v>
      </c>
      <c r="B813" s="22" t="s">
        <v>2958</v>
      </c>
      <c r="C813" s="58" t="s">
        <v>2959</v>
      </c>
      <c r="D813" s="58" t="s">
        <v>2960</v>
      </c>
      <c r="E813" s="84" t="s">
        <v>2961</v>
      </c>
      <c r="G813" s="27"/>
      <c r="H813" s="101" t="str">
        <f t="shared" si="12"/>
        <v>NECOMPLETAT</v>
      </c>
      <c r="I813" s="4" t="s">
        <v>3183</v>
      </c>
      <c r="J813" s="4" t="s">
        <v>3182</v>
      </c>
      <c r="K813" s="4" t="s">
        <v>3183</v>
      </c>
      <c r="L813" s="4"/>
    </row>
    <row r="814" spans="1:12" ht="75" x14ac:dyDescent="0.25">
      <c r="A814" s="27">
        <v>808</v>
      </c>
      <c r="B814" s="21" t="s">
        <v>2962</v>
      </c>
      <c r="C814" s="73" t="s">
        <v>2963</v>
      </c>
      <c r="D814" s="58" t="s">
        <v>2964</v>
      </c>
      <c r="E814" s="84" t="s">
        <v>2965</v>
      </c>
      <c r="G814" s="27"/>
      <c r="H814" s="101" t="str">
        <f t="shared" si="12"/>
        <v>NECOMPLETAT</v>
      </c>
      <c r="I814" s="4" t="s">
        <v>3183</v>
      </c>
      <c r="J814" s="4" t="s">
        <v>3182</v>
      </c>
      <c r="K814" s="4" t="s">
        <v>3183</v>
      </c>
      <c r="L814" s="4"/>
    </row>
    <row r="815" spans="1:12" ht="90" x14ac:dyDescent="0.25">
      <c r="A815" s="27">
        <v>809</v>
      </c>
      <c r="B815" s="21" t="s">
        <v>2966</v>
      </c>
      <c r="C815" s="58" t="s">
        <v>2967</v>
      </c>
      <c r="D815" s="58" t="s">
        <v>2968</v>
      </c>
      <c r="E815" s="84" t="s">
        <v>2969</v>
      </c>
      <c r="G815" s="27"/>
      <c r="H815" s="101" t="str">
        <f t="shared" si="12"/>
        <v>NECOMPLETAT</v>
      </c>
      <c r="I815" s="4" t="s">
        <v>3183</v>
      </c>
      <c r="J815" s="4" t="s">
        <v>3183</v>
      </c>
      <c r="K815" s="4" t="s">
        <v>3180</v>
      </c>
      <c r="L815" s="4"/>
    </row>
    <row r="816" spans="1:12" ht="45" x14ac:dyDescent="0.25">
      <c r="A816" s="27">
        <v>810</v>
      </c>
      <c r="B816" s="21" t="s">
        <v>2970</v>
      </c>
      <c r="C816" s="58" t="s">
        <v>2971</v>
      </c>
      <c r="D816" s="58" t="s">
        <v>2972</v>
      </c>
      <c r="E816" s="84" t="s">
        <v>2736</v>
      </c>
      <c r="G816" s="27"/>
      <c r="H816" s="101" t="str">
        <f t="shared" si="12"/>
        <v>NECOMPLETAT</v>
      </c>
      <c r="I816" s="4" t="s">
        <v>3181</v>
      </c>
      <c r="J816" s="4" t="s">
        <v>3183</v>
      </c>
      <c r="K816" s="4" t="s">
        <v>3183</v>
      </c>
      <c r="L816" s="4"/>
    </row>
    <row r="817" spans="1:12" ht="90" x14ac:dyDescent="0.25">
      <c r="A817" s="27">
        <v>811</v>
      </c>
      <c r="B817" s="21" t="s">
        <v>2973</v>
      </c>
      <c r="C817" s="58" t="s">
        <v>2974</v>
      </c>
      <c r="D817" s="58" t="s">
        <v>2975</v>
      </c>
      <c r="E817" s="84" t="s">
        <v>2976</v>
      </c>
      <c r="G817" s="27"/>
      <c r="H817" s="101" t="str">
        <f t="shared" si="12"/>
        <v>NECOMPLETAT</v>
      </c>
      <c r="I817" s="4" t="s">
        <v>3183</v>
      </c>
      <c r="J817" s="4" t="s">
        <v>3183</v>
      </c>
      <c r="K817" s="4" t="s">
        <v>3180</v>
      </c>
      <c r="L817" s="4"/>
    </row>
    <row r="818" spans="1:12" ht="120" x14ac:dyDescent="0.25">
      <c r="A818" s="27">
        <v>812</v>
      </c>
      <c r="B818" s="21" t="s">
        <v>2977</v>
      </c>
      <c r="C818" s="58" t="s">
        <v>2978</v>
      </c>
      <c r="D818" s="58" t="s">
        <v>2979</v>
      </c>
      <c r="E818" s="84" t="s">
        <v>2980</v>
      </c>
      <c r="G818" s="27"/>
      <c r="H818" s="101" t="str">
        <f t="shared" si="12"/>
        <v>NECOMPLETAT</v>
      </c>
      <c r="I818" s="4" t="s">
        <v>3183</v>
      </c>
      <c r="J818" s="4" t="s">
        <v>3182</v>
      </c>
      <c r="K818" s="4" t="s">
        <v>3183</v>
      </c>
      <c r="L818" s="4"/>
    </row>
    <row r="819" spans="1:12" ht="75" x14ac:dyDescent="0.25">
      <c r="A819" s="27">
        <v>813</v>
      </c>
      <c r="B819" s="21" t="s">
        <v>2981</v>
      </c>
      <c r="C819" s="58" t="s">
        <v>2982</v>
      </c>
      <c r="D819" s="58" t="s">
        <v>2983</v>
      </c>
      <c r="E819" s="84" t="s">
        <v>2984</v>
      </c>
      <c r="G819" s="27"/>
      <c r="H819" s="101" t="str">
        <f t="shared" si="12"/>
        <v>NECOMPLETAT</v>
      </c>
      <c r="I819" s="4" t="s">
        <v>3181</v>
      </c>
      <c r="J819" s="4" t="s">
        <v>3183</v>
      </c>
      <c r="K819" s="4" t="s">
        <v>3183</v>
      </c>
      <c r="L819" s="4"/>
    </row>
    <row r="820" spans="1:12" ht="60" x14ac:dyDescent="0.25">
      <c r="A820" s="27">
        <v>814</v>
      </c>
      <c r="B820" s="21" t="s">
        <v>2985</v>
      </c>
      <c r="C820" s="58" t="s">
        <v>2986</v>
      </c>
      <c r="D820" s="58" t="s">
        <v>2987</v>
      </c>
      <c r="E820" s="84" t="s">
        <v>2988</v>
      </c>
      <c r="G820" s="27"/>
      <c r="H820" s="101" t="str">
        <f t="shared" si="12"/>
        <v>NECOMPLETAT</v>
      </c>
      <c r="I820" s="4" t="s">
        <v>3183</v>
      </c>
      <c r="J820" s="4" t="s">
        <v>3182</v>
      </c>
      <c r="K820" s="4" t="s">
        <v>3183</v>
      </c>
      <c r="L820" s="4"/>
    </row>
    <row r="821" spans="1:12" ht="60" x14ac:dyDescent="0.25">
      <c r="A821" s="27">
        <v>815</v>
      </c>
      <c r="B821" s="21" t="s">
        <v>2989</v>
      </c>
      <c r="C821" s="58" t="s">
        <v>2990</v>
      </c>
      <c r="D821" s="58" t="s">
        <v>2991</v>
      </c>
      <c r="E821" s="84" t="s">
        <v>2992</v>
      </c>
      <c r="G821" s="27"/>
      <c r="H821" s="101" t="str">
        <f t="shared" si="12"/>
        <v>NECOMPLETAT</v>
      </c>
      <c r="I821" s="4" t="s">
        <v>3181</v>
      </c>
      <c r="J821" s="4" t="s">
        <v>3183</v>
      </c>
      <c r="K821" s="4" t="s">
        <v>3183</v>
      </c>
      <c r="L821" s="4"/>
    </row>
    <row r="822" spans="1:12" ht="75" x14ac:dyDescent="0.25">
      <c r="A822" s="27">
        <v>816</v>
      </c>
      <c r="B822" s="21" t="s">
        <v>2993</v>
      </c>
      <c r="C822" s="58" t="s">
        <v>2994</v>
      </c>
      <c r="D822" s="58" t="s">
        <v>2995</v>
      </c>
      <c r="E822" s="84" t="s">
        <v>2996</v>
      </c>
      <c r="G822" s="27"/>
      <c r="H822" s="101" t="str">
        <f t="shared" si="12"/>
        <v>NECOMPLETAT</v>
      </c>
      <c r="I822" s="4" t="s">
        <v>3181</v>
      </c>
      <c r="J822" s="4" t="s">
        <v>3183</v>
      </c>
      <c r="K822" s="4" t="s">
        <v>3183</v>
      </c>
      <c r="L822" s="4"/>
    </row>
    <row r="823" spans="1:12" ht="30" x14ac:dyDescent="0.25">
      <c r="A823" s="27">
        <v>817</v>
      </c>
      <c r="B823" s="25" t="s">
        <v>2997</v>
      </c>
      <c r="C823" s="58" t="s">
        <v>2998</v>
      </c>
      <c r="D823" s="58" t="s">
        <v>2999</v>
      </c>
      <c r="E823" s="84" t="s">
        <v>3000</v>
      </c>
      <c r="G823" s="27"/>
      <c r="H823" s="101" t="str">
        <f t="shared" si="12"/>
        <v>NECOMPLETAT</v>
      </c>
      <c r="I823" s="4" t="s">
        <v>3181</v>
      </c>
      <c r="J823" s="4" t="s">
        <v>3183</v>
      </c>
      <c r="K823" s="4" t="s">
        <v>3183</v>
      </c>
      <c r="L823" s="4"/>
    </row>
    <row r="824" spans="1:12" ht="45" x14ac:dyDescent="0.25">
      <c r="A824" s="27">
        <v>818</v>
      </c>
      <c r="B824" s="21" t="s">
        <v>3001</v>
      </c>
      <c r="C824" s="58" t="s">
        <v>3002</v>
      </c>
      <c r="D824" s="58" t="s">
        <v>3003</v>
      </c>
      <c r="E824" s="84" t="s">
        <v>3004</v>
      </c>
      <c r="G824" s="27"/>
      <c r="H824" s="101" t="str">
        <f t="shared" si="12"/>
        <v>NECOMPLETAT</v>
      </c>
      <c r="I824" s="4" t="s">
        <v>3183</v>
      </c>
      <c r="J824" s="4" t="s">
        <v>3182</v>
      </c>
      <c r="K824" s="4" t="s">
        <v>3183</v>
      </c>
      <c r="L824" s="4"/>
    </row>
    <row r="825" spans="1:12" ht="45" x14ac:dyDescent="0.25">
      <c r="A825" s="27">
        <v>819</v>
      </c>
      <c r="B825" s="21" t="s">
        <v>3005</v>
      </c>
      <c r="C825" s="58" t="s">
        <v>3006</v>
      </c>
      <c r="D825" s="58" t="s">
        <v>3007</v>
      </c>
      <c r="E825" s="84" t="s">
        <v>3008</v>
      </c>
      <c r="G825" s="27"/>
      <c r="H825" s="101" t="str">
        <f t="shared" si="12"/>
        <v>NECOMPLETAT</v>
      </c>
      <c r="I825" s="4" t="s">
        <v>3183</v>
      </c>
      <c r="J825" s="4" t="s">
        <v>3182</v>
      </c>
      <c r="K825" s="4" t="s">
        <v>3183</v>
      </c>
      <c r="L825" s="4"/>
    </row>
    <row r="826" spans="1:12" ht="75" x14ac:dyDescent="0.25">
      <c r="A826" s="27">
        <v>820</v>
      </c>
      <c r="B826" s="21" t="s">
        <v>3009</v>
      </c>
      <c r="C826" s="58" t="s">
        <v>3010</v>
      </c>
      <c r="D826" s="58" t="s">
        <v>3011</v>
      </c>
      <c r="E826" s="84" t="s">
        <v>3012</v>
      </c>
      <c r="G826" s="27"/>
      <c r="H826" s="101" t="str">
        <f t="shared" si="12"/>
        <v>NECOMPLETAT</v>
      </c>
      <c r="I826" s="4" t="s">
        <v>3181</v>
      </c>
      <c r="J826" s="4" t="s">
        <v>3183</v>
      </c>
      <c r="K826" s="4" t="s">
        <v>3183</v>
      </c>
      <c r="L826" s="4"/>
    </row>
    <row r="827" spans="1:12" ht="90" x14ac:dyDescent="0.25">
      <c r="A827" s="27">
        <v>821</v>
      </c>
      <c r="B827" s="21" t="s">
        <v>3013</v>
      </c>
      <c r="C827" s="58" t="s">
        <v>3014</v>
      </c>
      <c r="D827" s="58" t="s">
        <v>3015</v>
      </c>
      <c r="E827" s="84" t="s">
        <v>3016</v>
      </c>
      <c r="G827" s="27"/>
      <c r="H827" s="101" t="str">
        <f t="shared" si="12"/>
        <v>NECOMPLETAT</v>
      </c>
      <c r="I827" s="4" t="s">
        <v>3181</v>
      </c>
      <c r="J827" s="4" t="s">
        <v>3183</v>
      </c>
      <c r="K827" s="4" t="s">
        <v>3183</v>
      </c>
      <c r="L827" s="4"/>
    </row>
    <row r="828" spans="1:12" ht="45" x14ac:dyDescent="0.25">
      <c r="A828" s="27">
        <v>822</v>
      </c>
      <c r="B828" s="21" t="s">
        <v>3017</v>
      </c>
      <c r="C828" s="58" t="s">
        <v>3018</v>
      </c>
      <c r="D828" s="58" t="s">
        <v>3019</v>
      </c>
      <c r="E828" s="84" t="s">
        <v>3020</v>
      </c>
      <c r="G828" s="27"/>
      <c r="H828" s="101" t="str">
        <f t="shared" si="12"/>
        <v>NECOMPLETAT</v>
      </c>
      <c r="I828" s="4" t="s">
        <v>3181</v>
      </c>
      <c r="J828" s="4" t="s">
        <v>3183</v>
      </c>
      <c r="K828" s="4" t="s">
        <v>3183</v>
      </c>
      <c r="L828" s="4"/>
    </row>
    <row r="829" spans="1:12" ht="45" x14ac:dyDescent="0.25">
      <c r="A829" s="27">
        <v>823</v>
      </c>
      <c r="B829" s="25" t="s">
        <v>3021</v>
      </c>
      <c r="C829" s="79" t="s">
        <v>3022</v>
      </c>
      <c r="D829" s="79" t="s">
        <v>3023</v>
      </c>
      <c r="E829" s="84" t="s">
        <v>3024</v>
      </c>
      <c r="G829" s="27"/>
      <c r="H829" s="101" t="str">
        <f t="shared" si="12"/>
        <v>NECOMPLETAT</v>
      </c>
      <c r="I829" s="4" t="s">
        <v>3181</v>
      </c>
      <c r="J829" s="4" t="s">
        <v>3183</v>
      </c>
      <c r="K829" s="4" t="s">
        <v>3183</v>
      </c>
      <c r="L829" s="4"/>
    </row>
    <row r="830" spans="1:12" ht="45" x14ac:dyDescent="0.25">
      <c r="A830" s="27">
        <v>824</v>
      </c>
      <c r="B830" s="21" t="s">
        <v>3025</v>
      </c>
      <c r="C830" s="58" t="s">
        <v>3026</v>
      </c>
      <c r="D830" s="58" t="s">
        <v>3027</v>
      </c>
      <c r="E830" s="84" t="s">
        <v>3028</v>
      </c>
      <c r="G830" s="27"/>
      <c r="H830" s="101" t="str">
        <f t="shared" si="12"/>
        <v>NECOMPLETAT</v>
      </c>
      <c r="I830" s="4" t="s">
        <v>3181</v>
      </c>
      <c r="J830" s="4" t="s">
        <v>3183</v>
      </c>
      <c r="K830" s="4" t="s">
        <v>3183</v>
      </c>
      <c r="L830" s="4"/>
    </row>
    <row r="831" spans="1:12" ht="60" x14ac:dyDescent="0.25">
      <c r="A831" s="27">
        <v>825</v>
      </c>
      <c r="B831" s="21" t="s">
        <v>3029</v>
      </c>
      <c r="C831" s="58" t="s">
        <v>3030</v>
      </c>
      <c r="D831" s="58" t="s">
        <v>3031</v>
      </c>
      <c r="E831" s="84" t="s">
        <v>3032</v>
      </c>
      <c r="G831" s="27"/>
      <c r="H831" s="101" t="str">
        <f t="shared" si="12"/>
        <v>NECOMPLETAT</v>
      </c>
      <c r="I831" s="4" t="s">
        <v>3183</v>
      </c>
      <c r="J831" s="4" t="s">
        <v>3182</v>
      </c>
      <c r="K831" s="4" t="s">
        <v>3183</v>
      </c>
      <c r="L831" s="4"/>
    </row>
    <row r="832" spans="1:12" ht="60" x14ac:dyDescent="0.25">
      <c r="A832" s="27">
        <v>826</v>
      </c>
      <c r="B832" s="21" t="s">
        <v>3033</v>
      </c>
      <c r="C832" s="58" t="s">
        <v>3034</v>
      </c>
      <c r="D832" s="58" t="s">
        <v>3035</v>
      </c>
      <c r="E832" s="84" t="s">
        <v>3036</v>
      </c>
      <c r="G832" s="27"/>
      <c r="H832" s="101" t="str">
        <f t="shared" si="12"/>
        <v>NECOMPLETAT</v>
      </c>
      <c r="I832" s="4" t="s">
        <v>3181</v>
      </c>
      <c r="J832" s="4" t="s">
        <v>3183</v>
      </c>
      <c r="K832" s="4" t="s">
        <v>3183</v>
      </c>
      <c r="L832" s="4"/>
    </row>
    <row r="833" spans="1:12" ht="45" x14ac:dyDescent="0.25">
      <c r="A833" s="27">
        <v>827</v>
      </c>
      <c r="B833" s="21" t="s">
        <v>3037</v>
      </c>
      <c r="C833" s="58" t="s">
        <v>3038</v>
      </c>
      <c r="D833" s="58" t="s">
        <v>3039</v>
      </c>
      <c r="E833" s="84" t="s">
        <v>3040</v>
      </c>
      <c r="G833" s="27"/>
      <c r="H833" s="101" t="str">
        <f t="shared" si="12"/>
        <v>NECOMPLETAT</v>
      </c>
      <c r="I833" s="4" t="s">
        <v>3181</v>
      </c>
      <c r="J833" s="4" t="s">
        <v>3183</v>
      </c>
      <c r="K833" s="4" t="s">
        <v>3183</v>
      </c>
      <c r="L833" s="4"/>
    </row>
    <row r="834" spans="1:12" ht="60" x14ac:dyDescent="0.25">
      <c r="A834" s="27">
        <v>828</v>
      </c>
      <c r="B834" s="21" t="s">
        <v>3041</v>
      </c>
      <c r="C834" s="58" t="s">
        <v>3042</v>
      </c>
      <c r="D834" s="58" t="s">
        <v>3043</v>
      </c>
      <c r="E834" s="84" t="s">
        <v>3044</v>
      </c>
      <c r="G834" s="27"/>
      <c r="H834" s="101" t="str">
        <f t="shared" si="12"/>
        <v>NECOMPLETAT</v>
      </c>
      <c r="I834" s="4" t="s">
        <v>3181</v>
      </c>
      <c r="J834" s="4" t="s">
        <v>3183</v>
      </c>
      <c r="K834" s="4" t="s">
        <v>3183</v>
      </c>
      <c r="L834" s="4"/>
    </row>
    <row r="835" spans="1:12" ht="75" x14ac:dyDescent="0.25">
      <c r="A835" s="27">
        <v>829</v>
      </c>
      <c r="B835" s="25" t="s">
        <v>3045</v>
      </c>
      <c r="C835" s="58" t="s">
        <v>3046</v>
      </c>
      <c r="D835" s="58" t="s">
        <v>3047</v>
      </c>
      <c r="E835" s="84" t="s">
        <v>3048</v>
      </c>
      <c r="G835" s="27"/>
      <c r="H835" s="101" t="str">
        <f t="shared" si="12"/>
        <v>NECOMPLETAT</v>
      </c>
      <c r="I835" s="4" t="s">
        <v>3183</v>
      </c>
      <c r="J835" s="4" t="s">
        <v>3182</v>
      </c>
      <c r="K835" s="4" t="s">
        <v>3183</v>
      </c>
      <c r="L835" s="4"/>
    </row>
    <row r="836" spans="1:12" ht="150" x14ac:dyDescent="0.25">
      <c r="A836" s="27">
        <v>830</v>
      </c>
      <c r="B836" s="21" t="s">
        <v>3049</v>
      </c>
      <c r="C836" s="58" t="s">
        <v>3050</v>
      </c>
      <c r="D836" s="58" t="s">
        <v>3051</v>
      </c>
      <c r="E836" s="84" t="s">
        <v>3052</v>
      </c>
      <c r="G836" s="27"/>
      <c r="H836" s="101" t="str">
        <f t="shared" si="12"/>
        <v>NECOMPLETAT</v>
      </c>
      <c r="I836" s="4" t="s">
        <v>3181</v>
      </c>
      <c r="J836" s="4" t="s">
        <v>3183</v>
      </c>
      <c r="K836" s="4" t="s">
        <v>3183</v>
      </c>
      <c r="L836" s="4"/>
    </row>
    <row r="837" spans="1:12" ht="120" x14ac:dyDescent="0.25">
      <c r="A837" s="27">
        <v>831</v>
      </c>
      <c r="B837" s="21" t="s">
        <v>3053</v>
      </c>
      <c r="C837" s="58" t="s">
        <v>3054</v>
      </c>
      <c r="D837" s="58" t="s">
        <v>3055</v>
      </c>
      <c r="E837" s="84" t="s">
        <v>3056</v>
      </c>
      <c r="G837" s="27"/>
      <c r="H837" s="101" t="str">
        <f t="shared" si="12"/>
        <v>NECOMPLETAT</v>
      </c>
      <c r="I837" s="4" t="s">
        <v>3183</v>
      </c>
      <c r="J837" s="4" t="s">
        <v>3183</v>
      </c>
      <c r="K837" s="4" t="s">
        <v>3180</v>
      </c>
      <c r="L837" s="4"/>
    </row>
    <row r="838" spans="1:12" ht="45" x14ac:dyDescent="0.25">
      <c r="A838" s="27">
        <v>832</v>
      </c>
      <c r="B838" s="21" t="s">
        <v>3057</v>
      </c>
      <c r="C838" s="58" t="s">
        <v>3058</v>
      </c>
      <c r="D838" s="58" t="s">
        <v>3059</v>
      </c>
      <c r="E838" s="84" t="s">
        <v>3060</v>
      </c>
      <c r="G838" s="27"/>
      <c r="H838" s="101" t="str">
        <f t="shared" si="12"/>
        <v>NECOMPLETAT</v>
      </c>
      <c r="I838" s="4" t="s">
        <v>3181</v>
      </c>
      <c r="J838" s="4" t="s">
        <v>3183</v>
      </c>
      <c r="K838" s="4" t="s">
        <v>3183</v>
      </c>
      <c r="L838" s="4"/>
    </row>
    <row r="839" spans="1:12" ht="75" x14ac:dyDescent="0.25">
      <c r="A839" s="27">
        <v>833</v>
      </c>
      <c r="B839" s="21" t="s">
        <v>3061</v>
      </c>
      <c r="C839" s="58" t="s">
        <v>3062</v>
      </c>
      <c r="D839" s="58" t="s">
        <v>3063</v>
      </c>
      <c r="E839" s="84" t="s">
        <v>3064</v>
      </c>
      <c r="G839" s="27"/>
      <c r="H839" s="101" t="str">
        <f t="shared" si="12"/>
        <v>NECOMPLETAT</v>
      </c>
      <c r="I839" s="4" t="s">
        <v>3183</v>
      </c>
      <c r="J839" s="4" t="s">
        <v>3182</v>
      </c>
      <c r="K839" s="4" t="s">
        <v>3183</v>
      </c>
      <c r="L839" s="4"/>
    </row>
    <row r="840" spans="1:12" ht="120" x14ac:dyDescent="0.25">
      <c r="A840" s="27">
        <v>834</v>
      </c>
      <c r="B840" s="21" t="s">
        <v>3065</v>
      </c>
      <c r="C840" s="58" t="s">
        <v>3066</v>
      </c>
      <c r="D840" s="58" t="s">
        <v>3067</v>
      </c>
      <c r="E840" s="84" t="s">
        <v>3068</v>
      </c>
      <c r="G840" s="27"/>
      <c r="H840" s="101" t="str">
        <f t="shared" ref="H840:H867" si="13">IF(G840=0,"NECOMPLETAT",IF(OR(G840=I840,G840=J840,G840=K840),"CORECT","GRESIT"))</f>
        <v>NECOMPLETAT</v>
      </c>
      <c r="I840" s="4" t="s">
        <v>3183</v>
      </c>
      <c r="J840" s="4" t="s">
        <v>3183</v>
      </c>
      <c r="K840" s="4" t="s">
        <v>3180</v>
      </c>
      <c r="L840" s="4"/>
    </row>
    <row r="841" spans="1:12" ht="75" x14ac:dyDescent="0.25">
      <c r="A841" s="27">
        <v>835</v>
      </c>
      <c r="B841" s="21" t="s">
        <v>3069</v>
      </c>
      <c r="C841" s="58" t="s">
        <v>3070</v>
      </c>
      <c r="D841" s="58" t="s">
        <v>3071</v>
      </c>
      <c r="E841" s="84" t="s">
        <v>3072</v>
      </c>
      <c r="G841" s="27"/>
      <c r="H841" s="101" t="str">
        <f t="shared" si="13"/>
        <v>NECOMPLETAT</v>
      </c>
      <c r="I841" s="4" t="s">
        <v>3181</v>
      </c>
      <c r="J841" s="4" t="s">
        <v>3183</v>
      </c>
      <c r="K841" s="4" t="s">
        <v>3183</v>
      </c>
      <c r="L841" s="4"/>
    </row>
    <row r="842" spans="1:12" ht="90" x14ac:dyDescent="0.25">
      <c r="A842" s="27">
        <v>836</v>
      </c>
      <c r="B842" s="21" t="s">
        <v>3073</v>
      </c>
      <c r="C842" s="58" t="s">
        <v>3074</v>
      </c>
      <c r="D842" s="58" t="s">
        <v>3075</v>
      </c>
      <c r="E842" s="84" t="s">
        <v>3076</v>
      </c>
      <c r="G842" s="27"/>
      <c r="H842" s="101" t="str">
        <f t="shared" si="13"/>
        <v>NECOMPLETAT</v>
      </c>
      <c r="I842" s="4" t="s">
        <v>3183</v>
      </c>
      <c r="J842" s="4" t="s">
        <v>3182</v>
      </c>
      <c r="K842" s="4" t="s">
        <v>3183</v>
      </c>
      <c r="L842" s="4"/>
    </row>
    <row r="843" spans="1:12" ht="75" x14ac:dyDescent="0.25">
      <c r="A843" s="27">
        <v>837</v>
      </c>
      <c r="B843" s="21" t="s">
        <v>3077</v>
      </c>
      <c r="C843" s="58" t="s">
        <v>3078</v>
      </c>
      <c r="D843" s="58" t="s">
        <v>3079</v>
      </c>
      <c r="E843" s="84" t="s">
        <v>3080</v>
      </c>
      <c r="G843" s="27"/>
      <c r="H843" s="101" t="str">
        <f t="shared" si="13"/>
        <v>NECOMPLETAT</v>
      </c>
      <c r="I843" s="4" t="s">
        <v>3181</v>
      </c>
      <c r="J843" s="4" t="s">
        <v>3183</v>
      </c>
      <c r="K843" s="4" t="s">
        <v>3183</v>
      </c>
      <c r="L843" s="4"/>
    </row>
    <row r="844" spans="1:12" ht="60" x14ac:dyDescent="0.25">
      <c r="A844" s="27">
        <v>838</v>
      </c>
      <c r="B844" s="21" t="s">
        <v>3081</v>
      </c>
      <c r="C844" s="58" t="s">
        <v>3082</v>
      </c>
      <c r="D844" s="58" t="s">
        <v>3083</v>
      </c>
      <c r="E844" s="84" t="s">
        <v>3084</v>
      </c>
      <c r="G844" s="27"/>
      <c r="H844" s="101" t="str">
        <f t="shared" si="13"/>
        <v>NECOMPLETAT</v>
      </c>
      <c r="I844" s="4" t="s">
        <v>3183</v>
      </c>
      <c r="J844" s="4" t="s">
        <v>3182</v>
      </c>
      <c r="K844" s="4" t="s">
        <v>3183</v>
      </c>
      <c r="L844" s="4"/>
    </row>
    <row r="845" spans="1:12" ht="75" x14ac:dyDescent="0.25">
      <c r="A845" s="27">
        <v>839</v>
      </c>
      <c r="B845" s="21" t="s">
        <v>2818</v>
      </c>
      <c r="C845" s="58" t="s">
        <v>3085</v>
      </c>
      <c r="D845" s="58" t="s">
        <v>3086</v>
      </c>
      <c r="E845" s="84" t="s">
        <v>2820</v>
      </c>
      <c r="G845" s="27"/>
      <c r="H845" s="101" t="str">
        <f t="shared" si="13"/>
        <v>NECOMPLETAT</v>
      </c>
      <c r="I845" s="4" t="s">
        <v>3181</v>
      </c>
      <c r="J845" s="4" t="s">
        <v>3183</v>
      </c>
      <c r="K845" s="4" t="s">
        <v>3183</v>
      </c>
      <c r="L845" s="4"/>
    </row>
    <row r="846" spans="1:12" ht="60" x14ac:dyDescent="0.25">
      <c r="A846" s="27">
        <v>840</v>
      </c>
      <c r="B846" s="21" t="s">
        <v>2818</v>
      </c>
      <c r="C846" s="58" t="s">
        <v>2820</v>
      </c>
      <c r="D846" s="58" t="s">
        <v>3087</v>
      </c>
      <c r="E846" s="84" t="s">
        <v>3085</v>
      </c>
      <c r="G846" s="27"/>
      <c r="H846" s="101" t="str">
        <f t="shared" si="13"/>
        <v>NECOMPLETAT</v>
      </c>
      <c r="I846" s="4" t="s">
        <v>3183</v>
      </c>
      <c r="J846" s="4" t="s">
        <v>3183</v>
      </c>
      <c r="K846" s="4" t="s">
        <v>3180</v>
      </c>
      <c r="L846" s="4"/>
    </row>
    <row r="847" spans="1:12" ht="75" x14ac:dyDescent="0.25">
      <c r="A847" s="27">
        <v>841</v>
      </c>
      <c r="B847" s="21" t="s">
        <v>2822</v>
      </c>
      <c r="C847" s="58" t="s">
        <v>3086</v>
      </c>
      <c r="D847" s="58" t="s">
        <v>3088</v>
      </c>
      <c r="E847" s="84" t="s">
        <v>3089</v>
      </c>
      <c r="G847" s="27"/>
      <c r="H847" s="101" t="str">
        <f t="shared" si="13"/>
        <v>NECOMPLETAT</v>
      </c>
      <c r="I847" s="4" t="s">
        <v>3181</v>
      </c>
      <c r="J847" s="4" t="s">
        <v>3183</v>
      </c>
      <c r="K847" s="4" t="s">
        <v>3183</v>
      </c>
      <c r="L847" s="4"/>
    </row>
    <row r="848" spans="1:12" ht="75" x14ac:dyDescent="0.25">
      <c r="A848" s="27">
        <v>842</v>
      </c>
      <c r="B848" s="21" t="s">
        <v>3090</v>
      </c>
      <c r="C848" s="58" t="s">
        <v>3091</v>
      </c>
      <c r="D848" s="58" t="s">
        <v>3092</v>
      </c>
      <c r="E848" s="84" t="s">
        <v>3093</v>
      </c>
      <c r="G848" s="27"/>
      <c r="H848" s="101" t="str">
        <f t="shared" si="13"/>
        <v>NECOMPLETAT</v>
      </c>
      <c r="I848" s="4" t="s">
        <v>3183</v>
      </c>
      <c r="J848" s="4" t="s">
        <v>3182</v>
      </c>
      <c r="K848" s="4" t="s">
        <v>3183</v>
      </c>
      <c r="L848" s="4"/>
    </row>
    <row r="849" spans="1:12" ht="60" x14ac:dyDescent="0.25">
      <c r="A849" s="27">
        <v>843</v>
      </c>
      <c r="B849" s="21" t="s">
        <v>3094</v>
      </c>
      <c r="C849" s="58" t="s">
        <v>3095</v>
      </c>
      <c r="D849" s="58" t="s">
        <v>3096</v>
      </c>
      <c r="E849" s="84" t="s">
        <v>3097</v>
      </c>
      <c r="G849" s="27"/>
      <c r="H849" s="101" t="str">
        <f t="shared" si="13"/>
        <v>NECOMPLETAT</v>
      </c>
      <c r="I849" s="4" t="s">
        <v>3181</v>
      </c>
      <c r="J849" s="4" t="s">
        <v>3183</v>
      </c>
      <c r="K849" s="4" t="s">
        <v>3183</v>
      </c>
      <c r="L849" s="4"/>
    </row>
    <row r="850" spans="1:12" ht="60" x14ac:dyDescent="0.25">
      <c r="A850" s="27">
        <v>844</v>
      </c>
      <c r="B850" s="21" t="s">
        <v>3098</v>
      </c>
      <c r="C850" s="58" t="s">
        <v>3099</v>
      </c>
      <c r="D850" s="58" t="s">
        <v>3100</v>
      </c>
      <c r="E850" s="84" t="s">
        <v>3101</v>
      </c>
      <c r="G850" s="27"/>
      <c r="H850" s="101" t="str">
        <f t="shared" si="13"/>
        <v>NECOMPLETAT</v>
      </c>
      <c r="I850" s="4" t="s">
        <v>3183</v>
      </c>
      <c r="J850" s="4" t="s">
        <v>3182</v>
      </c>
      <c r="K850" s="4" t="s">
        <v>3183</v>
      </c>
      <c r="L850" s="4"/>
    </row>
    <row r="851" spans="1:12" ht="90" x14ac:dyDescent="0.25">
      <c r="A851" s="27">
        <v>845</v>
      </c>
      <c r="B851" s="21" t="s">
        <v>3102</v>
      </c>
      <c r="C851" s="58" t="s">
        <v>3103</v>
      </c>
      <c r="D851" s="58" t="s">
        <v>3104</v>
      </c>
      <c r="E851" s="84" t="s">
        <v>3105</v>
      </c>
      <c r="G851" s="27"/>
      <c r="H851" s="101" t="str">
        <f t="shared" si="13"/>
        <v>NECOMPLETAT</v>
      </c>
      <c r="I851" s="4" t="s">
        <v>3181</v>
      </c>
      <c r="J851" s="4" t="s">
        <v>3183</v>
      </c>
      <c r="K851" s="4" t="s">
        <v>3183</v>
      </c>
      <c r="L851" s="4"/>
    </row>
    <row r="852" spans="1:12" ht="75" x14ac:dyDescent="0.25">
      <c r="A852" s="27">
        <v>846</v>
      </c>
      <c r="B852" s="21" t="s">
        <v>3106</v>
      </c>
      <c r="C852" s="58" t="s">
        <v>3107</v>
      </c>
      <c r="D852" s="58" t="s">
        <v>3108</v>
      </c>
      <c r="E852" s="84" t="s">
        <v>3109</v>
      </c>
      <c r="G852" s="27"/>
      <c r="H852" s="101" t="str">
        <f t="shared" si="13"/>
        <v>NECOMPLETAT</v>
      </c>
      <c r="I852" s="4" t="s">
        <v>3183</v>
      </c>
      <c r="J852" s="4" t="s">
        <v>3183</v>
      </c>
      <c r="K852" s="4" t="s">
        <v>3180</v>
      </c>
      <c r="L852" s="4"/>
    </row>
    <row r="853" spans="1:12" ht="60" x14ac:dyDescent="0.25">
      <c r="A853" s="27">
        <v>847</v>
      </c>
      <c r="B853" s="21" t="s">
        <v>3110</v>
      </c>
      <c r="C853" s="58" t="s">
        <v>3111</v>
      </c>
      <c r="D853" s="58" t="s">
        <v>3112</v>
      </c>
      <c r="E853" s="84" t="s">
        <v>3113</v>
      </c>
      <c r="G853" s="27"/>
      <c r="H853" s="101" t="str">
        <f t="shared" si="13"/>
        <v>NECOMPLETAT</v>
      </c>
      <c r="I853" s="4" t="s">
        <v>3181</v>
      </c>
      <c r="J853" s="4" t="s">
        <v>3183</v>
      </c>
      <c r="K853" s="4" t="s">
        <v>3183</v>
      </c>
      <c r="L853" s="4"/>
    </row>
    <row r="854" spans="1:12" ht="45" x14ac:dyDescent="0.25">
      <c r="A854" s="27">
        <v>848</v>
      </c>
      <c r="B854" s="21" t="s">
        <v>3114</v>
      </c>
      <c r="C854" s="58" t="s">
        <v>3115</v>
      </c>
      <c r="D854" s="58" t="s">
        <v>3116</v>
      </c>
      <c r="E854" s="84" t="s">
        <v>3117</v>
      </c>
      <c r="G854" s="27"/>
      <c r="H854" s="101" t="str">
        <f t="shared" si="13"/>
        <v>NECOMPLETAT</v>
      </c>
      <c r="I854" s="4" t="s">
        <v>3183</v>
      </c>
      <c r="J854" s="4" t="s">
        <v>3183</v>
      </c>
      <c r="K854" s="4" t="s">
        <v>3180</v>
      </c>
      <c r="L854" s="4"/>
    </row>
    <row r="855" spans="1:12" ht="60" x14ac:dyDescent="0.25">
      <c r="A855" s="27">
        <v>849</v>
      </c>
      <c r="B855" s="21" t="s">
        <v>3118</v>
      </c>
      <c r="C855" s="58" t="s">
        <v>3119</v>
      </c>
      <c r="D855" s="58" t="s">
        <v>3120</v>
      </c>
      <c r="E855" s="84" t="s">
        <v>3121</v>
      </c>
      <c r="G855" s="27"/>
      <c r="H855" s="101" t="str">
        <f t="shared" si="13"/>
        <v>NECOMPLETAT</v>
      </c>
      <c r="I855" s="4" t="s">
        <v>3183</v>
      </c>
      <c r="J855" s="4" t="s">
        <v>3182</v>
      </c>
      <c r="K855" s="4" t="s">
        <v>3183</v>
      </c>
      <c r="L855" s="4"/>
    </row>
    <row r="856" spans="1:12" ht="60" x14ac:dyDescent="0.25">
      <c r="A856" s="27">
        <v>850</v>
      </c>
      <c r="B856" s="21" t="s">
        <v>3122</v>
      </c>
      <c r="C856" s="58" t="s">
        <v>3123</v>
      </c>
      <c r="D856" s="58" t="s">
        <v>3124</v>
      </c>
      <c r="E856" s="84" t="s">
        <v>3125</v>
      </c>
      <c r="G856" s="27"/>
      <c r="H856" s="101" t="str">
        <f t="shared" si="13"/>
        <v>NECOMPLETAT</v>
      </c>
      <c r="I856" s="4" t="s">
        <v>3183</v>
      </c>
      <c r="J856" s="4" t="s">
        <v>3183</v>
      </c>
      <c r="K856" s="4" t="s">
        <v>3180</v>
      </c>
      <c r="L856" s="4"/>
    </row>
    <row r="857" spans="1:12" ht="60" x14ac:dyDescent="0.25">
      <c r="A857" s="27">
        <v>851</v>
      </c>
      <c r="B857" s="21" t="s">
        <v>3126</v>
      </c>
      <c r="C857" s="58" t="s">
        <v>3127</v>
      </c>
      <c r="D857" s="58" t="s">
        <v>3128</v>
      </c>
      <c r="E857" s="84" t="s">
        <v>3129</v>
      </c>
      <c r="G857" s="27"/>
      <c r="H857" s="101" t="str">
        <f t="shared" si="13"/>
        <v>NECOMPLETAT</v>
      </c>
      <c r="I857" s="4" t="s">
        <v>3183</v>
      </c>
      <c r="J857" s="4" t="s">
        <v>3182</v>
      </c>
      <c r="K857" s="4" t="s">
        <v>3183</v>
      </c>
      <c r="L857" s="4"/>
    </row>
    <row r="858" spans="1:12" ht="30" x14ac:dyDescent="0.25">
      <c r="A858" s="27">
        <v>852</v>
      </c>
      <c r="B858" s="21" t="s">
        <v>3130</v>
      </c>
      <c r="C858" s="58" t="s">
        <v>3131</v>
      </c>
      <c r="D858" s="58" t="s">
        <v>3132</v>
      </c>
      <c r="E858" s="84" t="s">
        <v>3133</v>
      </c>
      <c r="G858" s="27"/>
      <c r="H858" s="101" t="str">
        <f t="shared" si="13"/>
        <v>NECOMPLETAT</v>
      </c>
      <c r="I858" s="4" t="s">
        <v>3181</v>
      </c>
      <c r="J858" s="4" t="s">
        <v>3183</v>
      </c>
      <c r="K858" s="4" t="s">
        <v>3183</v>
      </c>
      <c r="L858" s="4"/>
    </row>
    <row r="859" spans="1:12" ht="60" x14ac:dyDescent="0.25">
      <c r="A859" s="27">
        <v>853</v>
      </c>
      <c r="B859" s="21" t="s">
        <v>3134</v>
      </c>
      <c r="C859" s="58" t="s">
        <v>3135</v>
      </c>
      <c r="D859" s="58" t="s">
        <v>3136</v>
      </c>
      <c r="E859" s="84" t="s">
        <v>3137</v>
      </c>
      <c r="G859" s="27"/>
      <c r="H859" s="101" t="str">
        <f t="shared" si="13"/>
        <v>NECOMPLETAT</v>
      </c>
      <c r="I859" s="4" t="s">
        <v>3183</v>
      </c>
      <c r="J859" s="4" t="s">
        <v>3182</v>
      </c>
      <c r="K859" s="4" t="s">
        <v>3183</v>
      </c>
      <c r="L859" s="4"/>
    </row>
    <row r="860" spans="1:12" ht="45" x14ac:dyDescent="0.25">
      <c r="A860" s="27">
        <v>854</v>
      </c>
      <c r="B860" s="21" t="s">
        <v>3138</v>
      </c>
      <c r="C860" s="58" t="s">
        <v>3139</v>
      </c>
      <c r="D860" s="58" t="s">
        <v>3140</v>
      </c>
      <c r="E860" s="84" t="s">
        <v>3141</v>
      </c>
      <c r="G860" s="27"/>
      <c r="H860" s="101" t="str">
        <f t="shared" si="13"/>
        <v>NECOMPLETAT</v>
      </c>
      <c r="I860" s="4" t="s">
        <v>3183</v>
      </c>
      <c r="J860" s="4" t="s">
        <v>3183</v>
      </c>
      <c r="K860" s="4" t="s">
        <v>3180</v>
      </c>
      <c r="L860" s="4"/>
    </row>
    <row r="861" spans="1:12" ht="105" x14ac:dyDescent="0.25">
      <c r="A861" s="27">
        <v>855</v>
      </c>
      <c r="B861" s="21" t="s">
        <v>3142</v>
      </c>
      <c r="C861" s="58" t="s">
        <v>3143</v>
      </c>
      <c r="D861" s="58" t="s">
        <v>3144</v>
      </c>
      <c r="E861" s="84" t="s">
        <v>3145</v>
      </c>
      <c r="G861" s="27"/>
      <c r="H861" s="101" t="str">
        <f t="shared" si="13"/>
        <v>NECOMPLETAT</v>
      </c>
      <c r="I861" s="4" t="s">
        <v>3183</v>
      </c>
      <c r="J861" s="4" t="s">
        <v>3183</v>
      </c>
      <c r="K861" s="4" t="s">
        <v>3180</v>
      </c>
      <c r="L861" s="4"/>
    </row>
    <row r="862" spans="1:12" ht="60" x14ac:dyDescent="0.25">
      <c r="A862" s="27">
        <v>856</v>
      </c>
      <c r="B862" s="21" t="s">
        <v>3146</v>
      </c>
      <c r="C862" s="58" t="s">
        <v>3147</v>
      </c>
      <c r="D862" s="58" t="s">
        <v>3148</v>
      </c>
      <c r="E862" s="84" t="s">
        <v>3149</v>
      </c>
      <c r="G862" s="27"/>
      <c r="H862" s="101" t="str">
        <f t="shared" si="13"/>
        <v>NECOMPLETAT</v>
      </c>
      <c r="I862" s="4" t="s">
        <v>3183</v>
      </c>
      <c r="J862" s="4" t="s">
        <v>3183</v>
      </c>
      <c r="K862" s="4" t="s">
        <v>3180</v>
      </c>
      <c r="L862" s="4"/>
    </row>
    <row r="863" spans="1:12" ht="120" x14ac:dyDescent="0.25">
      <c r="A863" s="27">
        <v>857</v>
      </c>
      <c r="B863" s="21" t="s">
        <v>3150</v>
      </c>
      <c r="C863" s="58" t="s">
        <v>3151</v>
      </c>
      <c r="D863" s="58" t="s">
        <v>3152</v>
      </c>
      <c r="E863" s="84" t="s">
        <v>3153</v>
      </c>
      <c r="G863" s="27"/>
      <c r="H863" s="101" t="str">
        <f t="shared" si="13"/>
        <v>NECOMPLETAT</v>
      </c>
      <c r="I863" s="4" t="s">
        <v>3183</v>
      </c>
      <c r="J863" s="4" t="s">
        <v>3183</v>
      </c>
      <c r="K863" s="4" t="s">
        <v>3180</v>
      </c>
      <c r="L863" s="4"/>
    </row>
    <row r="864" spans="1:12" ht="45" x14ac:dyDescent="0.25">
      <c r="A864" s="27">
        <v>858</v>
      </c>
      <c r="B864" s="21" t="s">
        <v>2651</v>
      </c>
      <c r="C864" s="58" t="s">
        <v>3154</v>
      </c>
      <c r="D864" s="58" t="s">
        <v>3155</v>
      </c>
      <c r="E864" s="84" t="s">
        <v>3156</v>
      </c>
      <c r="G864" s="27"/>
      <c r="H864" s="101" t="str">
        <f t="shared" si="13"/>
        <v>NECOMPLETAT</v>
      </c>
      <c r="I864" s="4" t="s">
        <v>3183</v>
      </c>
      <c r="J864" s="4" t="s">
        <v>3182</v>
      </c>
      <c r="K864" s="4" t="s">
        <v>3183</v>
      </c>
      <c r="L864" s="4"/>
    </row>
    <row r="865" spans="1:12" ht="75" x14ac:dyDescent="0.25">
      <c r="A865" s="27">
        <v>859</v>
      </c>
      <c r="B865" s="21" t="s">
        <v>2754</v>
      </c>
      <c r="C865" s="58" t="s">
        <v>3157</v>
      </c>
      <c r="D865" s="58" t="s">
        <v>3158</v>
      </c>
      <c r="E865" s="84" t="s">
        <v>3159</v>
      </c>
      <c r="G865" s="27"/>
      <c r="H865" s="101" t="str">
        <f t="shared" si="13"/>
        <v>NECOMPLETAT</v>
      </c>
      <c r="I865" s="4" t="s">
        <v>3181</v>
      </c>
      <c r="J865" s="4" t="s">
        <v>3183</v>
      </c>
      <c r="K865" s="4" t="s">
        <v>3183</v>
      </c>
      <c r="L865" s="4"/>
    </row>
    <row r="866" spans="1:12" ht="60" x14ac:dyDescent="0.25">
      <c r="A866" s="27">
        <v>860</v>
      </c>
      <c r="B866" s="21" t="s">
        <v>3160</v>
      </c>
      <c r="C866" s="58" t="s">
        <v>3161</v>
      </c>
      <c r="D866" s="58" t="s">
        <v>3162</v>
      </c>
      <c r="E866" s="84" t="s">
        <v>3163</v>
      </c>
      <c r="G866" s="27"/>
      <c r="H866" s="101" t="str">
        <f t="shared" si="13"/>
        <v>NECOMPLETAT</v>
      </c>
      <c r="I866" s="4" t="s">
        <v>3183</v>
      </c>
      <c r="J866" s="4" t="s">
        <v>3183</v>
      </c>
      <c r="K866" s="4" t="s">
        <v>3180</v>
      </c>
      <c r="L866" s="4"/>
    </row>
    <row r="867" spans="1:12" ht="30" x14ac:dyDescent="0.25">
      <c r="A867" s="27">
        <v>861</v>
      </c>
      <c r="B867" s="21" t="s">
        <v>3164</v>
      </c>
      <c r="C867" s="58" t="s">
        <v>3165</v>
      </c>
      <c r="D867" s="58" t="s">
        <v>3166</v>
      </c>
      <c r="E867" s="84" t="s">
        <v>2737</v>
      </c>
      <c r="G867" s="27"/>
      <c r="H867" s="101" t="str">
        <f t="shared" si="13"/>
        <v>NECOMPLETAT</v>
      </c>
      <c r="I867" s="4" t="s">
        <v>3183</v>
      </c>
      <c r="J867" s="4" t="s">
        <v>3183</v>
      </c>
      <c r="K867" s="4" t="s">
        <v>3180</v>
      </c>
      <c r="L867" s="4"/>
    </row>
    <row r="869" spans="1:12" x14ac:dyDescent="0.25">
      <c r="C869">
        <v>24</v>
      </c>
      <c r="D869">
        <v>25</v>
      </c>
      <c r="E869">
        <f>D869-C869</f>
        <v>1</v>
      </c>
    </row>
    <row r="870" spans="1:12" x14ac:dyDescent="0.25">
      <c r="E870">
        <f>C869/D869</f>
        <v>0.96</v>
      </c>
    </row>
  </sheetData>
  <autoFilter ref="A6:G867" xr:uid="{00000000-0001-0000-0000-000000000000}"/>
  <mergeCells count="6">
    <mergeCell ref="N715:O715"/>
    <mergeCell ref="M277:P277"/>
    <mergeCell ref="M279:P279"/>
    <mergeCell ref="R277:U277"/>
    <mergeCell ref="R278:U278"/>
    <mergeCell ref="M714:P714"/>
  </mergeCells>
  <conditionalFormatting sqref="C7:C867">
    <cfRule type="expression" dxfId="17" priority="8">
      <formula>IF($G7=$I7,TRUE)</formula>
    </cfRule>
  </conditionalFormatting>
  <conditionalFormatting sqref="D7:D867">
    <cfRule type="expression" dxfId="16" priority="7">
      <formula>IF($G7=$J7,TRUE)</formula>
    </cfRule>
  </conditionalFormatting>
  <conditionalFormatting sqref="E7:E867">
    <cfRule type="expression" dxfId="15" priority="6">
      <formula>IF($G7=$K7,TRUE)</formula>
    </cfRule>
  </conditionalFormatting>
  <conditionalFormatting sqref="G7:G867">
    <cfRule type="expression" dxfId="14" priority="1">
      <formula>IF($H7="NECOMPLETAT",TRUE)</formula>
    </cfRule>
    <cfRule type="expression" dxfId="13" priority="2">
      <formula>IF($H7="GRESIT",TRUE)</formula>
    </cfRule>
    <cfRule type="expression" dxfId="12" priority="3">
      <formula>IF($H7="CORECT",TRUE)</formula>
    </cfRule>
  </conditionalFormatting>
  <dataValidations xWindow="1776" yWindow="1046" count="3">
    <dataValidation type="list" allowBlank="1" showDropDown="1" showInputMessage="1" showErrorMessage="1" errorTitle="VARIANTE" error="Alege una dintre variantele _x000a_ a_x000a_ b_x000a_ c" promptTitle="Alege o varianta" prompt="a_x000a_b_x000a_c" sqref="G7:G119" xr:uid="{398AD457-C4B1-4609-A000-90744297014F}">
      <formula1>"a,b,c,A,B,C"</formula1>
    </dataValidation>
    <dataValidation type="list" allowBlank="1" showInputMessage="1" showErrorMessage="1" errorTitle="VARIANTE" error="Alege una dintre variantele _x000a_ a_x000a_ b_x000a_ c" promptTitle="Alege o varianta" prompt="a_x000a_b_x000a_c" sqref="G120" xr:uid="{2B1BDB64-5874-4A9F-9529-968CAEAEAD23}">
      <formula1>"a,b,c,A,B,C"</formula1>
    </dataValidation>
    <dataValidation type="list" allowBlank="1" showInputMessage="1" showErrorMessage="1" errorTitle="VARIANTE" error="Alege una dintre variantele _x000a_ a_x000a_ b_x000a_ c" promptTitle="Alege o varianta" prompt="a_x000a_b_x000a_c" sqref="G121:G867" xr:uid="{12E50A0B-A438-48D9-90F4-2A710B5B6C16}">
      <formula1>"a,b,c"</formula1>
    </dataValidation>
  </dataValidations>
  <pageMargins left="0.7" right="0.7" top="0.75" bottom="0.75" header="0.3" footer="0.3"/>
  <pageSetup paperSize="9"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5FB3B-C171-424C-8D2E-3B4146B71F3D}">
  <dimension ref="A1:P31"/>
  <sheetViews>
    <sheetView zoomScale="85" zoomScaleNormal="85" workbookViewId="0">
      <pane ySplit="6" topLeftCell="A8" activePane="bottomLeft" state="frozen"/>
      <selection activeCell="B1" sqref="B1"/>
      <selection pane="bottomLeft" activeCell="E10" sqref="E10"/>
    </sheetView>
  </sheetViews>
  <sheetFormatPr defaultRowHeight="15" x14ac:dyDescent="0.25"/>
  <cols>
    <col min="2" max="2" width="8" hidden="1" customWidth="1"/>
    <col min="3" max="3" width="38.5703125" style="117" customWidth="1"/>
    <col min="4" max="4" width="29.28515625" customWidth="1"/>
    <col min="5" max="5" width="28.42578125" customWidth="1"/>
    <col min="6" max="6" width="26" customWidth="1"/>
    <col min="7" max="8" width="4.28515625" customWidth="1"/>
    <col min="9" max="9" width="13.140625" customWidth="1"/>
    <col min="10" max="10" width="12.7109375" customWidth="1"/>
    <col min="11" max="13" width="8.85546875" customWidth="1"/>
    <col min="14" max="14" width="7.42578125" customWidth="1"/>
    <col min="15" max="15" width="11.140625" customWidth="1"/>
    <col min="16" max="16" width="12.42578125" customWidth="1"/>
    <col min="17" max="17" width="13.28515625" customWidth="1"/>
    <col min="19" max="19" width="16.5703125" customWidth="1"/>
    <col min="20" max="21" width="15.5703125" customWidth="1"/>
    <col min="22" max="22" width="13.28515625" customWidth="1"/>
  </cols>
  <sheetData>
    <row r="1" spans="1:16" ht="10.9" customHeight="1" x14ac:dyDescent="0.25">
      <c r="C1" s="116"/>
      <c r="D1" s="2"/>
      <c r="E1" s="2"/>
      <c r="F1" s="103"/>
    </row>
    <row r="2" spans="1:16" ht="18" customHeight="1" x14ac:dyDescent="0.25">
      <c r="D2" s="6" t="s">
        <v>1024</v>
      </c>
      <c r="E2" s="2"/>
      <c r="F2" s="104" t="s">
        <v>3189</v>
      </c>
    </row>
    <row r="3" spans="1:16" ht="5.45" customHeight="1" x14ac:dyDescent="0.25">
      <c r="C3" s="116"/>
      <c r="D3" s="2"/>
      <c r="E3" s="2"/>
      <c r="F3" s="103"/>
    </row>
    <row r="4" spans="1:16" ht="15" customHeight="1" x14ac:dyDescent="0.25">
      <c r="C4" s="118" t="s">
        <v>904</v>
      </c>
      <c r="D4" s="2"/>
      <c r="E4" s="2"/>
      <c r="F4" s="104"/>
      <c r="N4" t="s">
        <v>3177</v>
      </c>
      <c r="O4" t="s">
        <v>3178</v>
      </c>
      <c r="P4" t="s">
        <v>3179</v>
      </c>
    </row>
    <row r="5" spans="1:16" ht="15" customHeight="1" x14ac:dyDescent="0.25">
      <c r="C5" s="116"/>
      <c r="D5" s="2"/>
      <c r="E5" s="2"/>
      <c r="F5" s="3"/>
      <c r="N5">
        <v>861</v>
      </c>
      <c r="O5">
        <f ca="1">COUNTA(I7:I31)</f>
        <v>25</v>
      </c>
      <c r="P5">
        <f ca="1">N5-O5</f>
        <v>836</v>
      </c>
    </row>
    <row r="6" spans="1:16" ht="37.5" customHeight="1" x14ac:dyDescent="0.25">
      <c r="A6" s="105" t="s">
        <v>3167</v>
      </c>
      <c r="B6" s="105" t="s">
        <v>3167</v>
      </c>
      <c r="C6" s="106" t="s">
        <v>1025</v>
      </c>
      <c r="D6" s="107" t="s">
        <v>0</v>
      </c>
      <c r="E6" s="107" t="s">
        <v>1</v>
      </c>
      <c r="F6" s="108" t="s">
        <v>2</v>
      </c>
      <c r="I6" s="107" t="s">
        <v>3187</v>
      </c>
      <c r="J6" s="80" t="s">
        <v>3188</v>
      </c>
      <c r="K6" s="80" t="s">
        <v>3184</v>
      </c>
      <c r="L6" s="80" t="s">
        <v>3185</v>
      </c>
      <c r="M6" s="80" t="s">
        <v>3186</v>
      </c>
      <c r="O6" s="44">
        <f ca="1">O5/N5</f>
        <v>2.9036004645760744E-2</v>
      </c>
      <c r="P6" s="44"/>
    </row>
    <row r="7" spans="1:16" s="4" customFormat="1" ht="60" customHeight="1" x14ac:dyDescent="0.25">
      <c r="A7" s="101">
        <v>1</v>
      </c>
      <c r="B7" s="101" cm="1">
        <f t="array" aca="1" ref="B7:L7" ca="1">_xlfn._xlws.FILTER(Sheet1!A6:K866,Sheet1!A6:A866=RANDBETWEEN(1,861),"Fatal ERROR, this PC will explode in about 1 minute")</f>
        <v>558</v>
      </c>
      <c r="C7" s="109" t="str">
        <f ca="1"/>
        <v>Legarea conductoarelor din cupru la aparate, maşini, elemente metalice fixe, se face    (de regulă) prin strângere mecanică cu şuruburi în cazul conductoarelor cu secţiuni mai mici sau egale cu:</v>
      </c>
      <c r="D7" s="110" t="str">
        <f ca="1"/>
        <v>16 mmp</v>
      </c>
      <c r="E7" s="110" t="str">
        <f ca="1"/>
        <v xml:space="preserve"> 10 mmp</v>
      </c>
      <c r="F7" s="110" t="str">
        <f ca="1"/>
        <v>6 mmp</v>
      </c>
      <c r="G7" s="4">
        <f ca="1"/>
        <v>0</v>
      </c>
      <c r="H7" s="4">
        <f ca="1"/>
        <v>0</v>
      </c>
      <c r="I7" s="101" t="str">
        <f ca="1"/>
        <v>NECOMPLETAT</v>
      </c>
      <c r="J7" s="101" t="str">
        <f ca="1"/>
        <v>…......</v>
      </c>
      <c r="K7" s="4" t="str">
        <f ca="1"/>
        <v>b</v>
      </c>
      <c r="L7" s="4" t="str">
        <f ca="1"/>
        <v>…......</v>
      </c>
    </row>
    <row r="8" spans="1:16" s="4" customFormat="1" ht="83.45" customHeight="1" x14ac:dyDescent="0.25">
      <c r="A8" s="101">
        <v>2</v>
      </c>
      <c r="B8" s="101" cm="1">
        <f t="array" aca="1" ref="B8:L8" ca="1">_xlfn._xlws.FILTER(Sheet1!A7:K867,Sheet1!A7:A867=RANDBETWEEN(1,861),"Fatal ERROR, this PC will explode in about 1 minute")</f>
        <v>738</v>
      </c>
      <c r="C8" s="109" t="str">
        <f ca="1"/>
        <v>Calitatea de autoritate contractantă pentru concesionarea bunurilor proprietate publică sau privată a statului din domeniul energetic, precum şi pentru activităţile sau serviciile publice de interes naţional și general din domeniul energiei electrice o are</v>
      </c>
      <c r="D8" s="110" t="str">
        <f ca="1"/>
        <v xml:space="preserve"> Ministerul de resort  </v>
      </c>
      <c r="E8" s="111" t="str">
        <f ca="1"/>
        <v>ANRE - Autoritatea Naţională de Reglementare în domeniul Energiei</v>
      </c>
      <c r="F8" s="111" t="str">
        <f ca="1"/>
        <v>ANRSC - Autoritatea Naţională de Reglementare in domeniul Serviciilor Comunale</v>
      </c>
      <c r="G8" s="4">
        <f ca="1"/>
        <v>0</v>
      </c>
      <c r="H8" s="4">
        <f ca="1"/>
        <v>0</v>
      </c>
      <c r="I8" s="101" t="str">
        <f ca="1"/>
        <v>NECOMPLETAT</v>
      </c>
      <c r="J8" s="101" t="str">
        <f ca="1"/>
        <v>a</v>
      </c>
      <c r="K8" s="4" t="str">
        <f ca="1"/>
        <v>…......</v>
      </c>
      <c r="L8" s="4" t="str">
        <f ca="1"/>
        <v>…......</v>
      </c>
    </row>
    <row r="9" spans="1:16" s="4" customFormat="1" ht="64.900000000000006" customHeight="1" x14ac:dyDescent="0.25">
      <c r="A9" s="101">
        <v>3</v>
      </c>
      <c r="B9" s="101" cm="1">
        <f t="array" aca="1" ref="B9:L9" ca="1">_xlfn._xlws.FILTER(Sheet1!A8:K868,Sheet1!A8:A868=RANDBETWEEN(1,861),"Fatal ERROR, this PC will explode in about 1 minute")</f>
        <v>309</v>
      </c>
      <c r="C9" s="112" t="str">
        <f ca="1"/>
        <v xml:space="preserve"> La instalaţiile electrice de putere de joasă tensiune, densitatea maximă de curent admisă  în regim de scurtă durată la pornire este de:</v>
      </c>
      <c r="D9" s="111" t="str">
        <f ca="1"/>
        <v>35 A/mm2 pentru conductoare de aluminiu</v>
      </c>
      <c r="E9" s="111" t="str">
        <f ca="1"/>
        <v>20 A/mm2 pentru conductoare de cupru</v>
      </c>
      <c r="F9" s="111" t="str">
        <f ca="1"/>
        <v>20 A/mm2 pentru conductoare de aluminiu</v>
      </c>
      <c r="G9" s="4">
        <f ca="1"/>
        <v>0</v>
      </c>
      <c r="H9" s="4">
        <f ca="1"/>
        <v>0</v>
      </c>
      <c r="I9" s="101" t="str">
        <f ca="1"/>
        <v>NECOMPLETAT</v>
      </c>
      <c r="J9" s="101" t="str">
        <f ca="1"/>
        <v>…......</v>
      </c>
      <c r="K9" s="4" t="str">
        <f ca="1"/>
        <v>…......</v>
      </c>
      <c r="L9" s="4" t="str">
        <f ca="1"/>
        <v>c</v>
      </c>
    </row>
    <row r="10" spans="1:16" s="4" customFormat="1" ht="55.5" customHeight="1" x14ac:dyDescent="0.25">
      <c r="A10" s="101">
        <v>4</v>
      </c>
      <c r="B10" s="101" cm="1">
        <f t="array" aca="1" ref="B10:L10" ca="1">_xlfn._xlws.FILTER(Sheet1!A9:K869,Sheet1!A9:A869=RANDBETWEEN(1,861),"Fatal ERROR, this PC will explode in about 1 minute")</f>
        <v>457</v>
      </c>
      <c r="C10" s="109" t="str">
        <f ca="1"/>
        <v>În cazul consumatorilor racordaţi direct la reţeaua de joasă tensiune a distribuitorului, pornirea directă a motoarelor trifazate se admite pentru o putere de până la:</v>
      </c>
      <c r="D10" s="111" t="str">
        <f ca="1"/>
        <v>4 kW</v>
      </c>
      <c r="E10" s="111" t="str">
        <f ca="1"/>
        <v>5,5 kW</v>
      </c>
      <c r="F10" s="111" t="str">
        <f ca="1"/>
        <v xml:space="preserve"> 7,5 kW</v>
      </c>
      <c r="G10" s="4">
        <f ca="1"/>
        <v>0</v>
      </c>
      <c r="H10" s="4">
        <f ca="1"/>
        <v>0</v>
      </c>
      <c r="I10" s="101" t="str">
        <f ca="1"/>
        <v>NECOMPLETAT</v>
      </c>
      <c r="J10" s="101" t="str">
        <f ca="1"/>
        <v>…......</v>
      </c>
      <c r="K10" s="4" t="str">
        <f ca="1"/>
        <v>b</v>
      </c>
      <c r="L10" s="4" t="str">
        <f ca="1"/>
        <v>…......</v>
      </c>
      <c r="P10"/>
    </row>
    <row r="11" spans="1:16" s="4" customFormat="1" ht="45" x14ac:dyDescent="0.25">
      <c r="A11" s="101">
        <v>5</v>
      </c>
      <c r="B11" s="101" cm="1">
        <f t="array" aca="1" ref="B11:L11" ca="1">_xlfn._xlws.FILTER(Sheet1!A10:K870,Sheet1!A10:A870=RANDBETWEEN(1,861),"Fatal ERROR, this PC will explode in about 1 minute")</f>
        <v>801</v>
      </c>
      <c r="C11" s="109" t="str">
        <f ca="1"/>
        <v xml:space="preserve">Prevederile standardului de performanţă pentru serviciul de distribuţie nu se aplică în situaţii de:
 </v>
      </c>
      <c r="D11" s="111" t="str">
        <f ca="1"/>
        <v>Forţă majoră</v>
      </c>
      <c r="E11" s="111" t="str">
        <f ca="1"/>
        <v>Evenimente accidentale determinate de angajaţii operatorului de distribuţie</v>
      </c>
      <c r="F11" s="111" t="str">
        <f ca="1"/>
        <v xml:space="preserve">condiţii meteorologice deosebite </v>
      </c>
      <c r="G11" s="4">
        <f ca="1"/>
        <v>0</v>
      </c>
      <c r="H11" s="4">
        <f ca="1"/>
        <v>0</v>
      </c>
      <c r="I11" s="101" t="str">
        <f ca="1"/>
        <v>NECOMPLETAT</v>
      </c>
      <c r="J11" s="101" t="str">
        <f ca="1"/>
        <v>a</v>
      </c>
      <c r="K11" s="4" t="str">
        <f ca="1"/>
        <v>…......</v>
      </c>
      <c r="L11" s="4" t="str">
        <f ca="1"/>
        <v>…......</v>
      </c>
    </row>
    <row r="12" spans="1:16" s="4" customFormat="1" ht="60" x14ac:dyDescent="0.25">
      <c r="A12" s="101">
        <v>6</v>
      </c>
      <c r="B12" s="101" cm="1">
        <f t="array" aca="1" ref="B12:L12" ca="1">_xlfn._xlws.FILTER(Sheet1!A11:K871,Sheet1!A11:A871=RANDBETWEEN(1,861),"Fatal ERROR, this PC will explode in about 1 minute")</f>
        <v>311</v>
      </c>
      <c r="C12" s="109" t="str">
        <f ca="1"/>
        <v xml:space="preserve"> La pozarea cablurilor de branşament pe stâlpii reţelelor electrice aeriene:</v>
      </c>
      <c r="D12" s="111" t="str">
        <f ca="1"/>
        <v xml:space="preserve">pentru protecţia împotriva deteriorărilor mecanice se poate prevedea introducerea cablurilor în tub metalic pe o porţiune de 2m deasupra solului </v>
      </c>
      <c r="E12" s="111" t="str">
        <f ca="1"/>
        <v xml:space="preserve">  pentru protecţia împotriva deteriorărilor mecanice se poate  prevedea introducerea cablurilor în tub din PVC pe o porţiune de 1 m deasupra solului</v>
      </c>
      <c r="F12" s="111" t="str">
        <f ca="1"/>
        <v xml:space="preserve">reglementările nu prevăd în această situaţie măsuri de protecţie împotriva deteriorărilor mecanice </v>
      </c>
      <c r="G12" s="4">
        <f ca="1"/>
        <v>0</v>
      </c>
      <c r="H12" s="4">
        <f ca="1"/>
        <v>0</v>
      </c>
      <c r="I12" s="101" t="str">
        <f ca="1"/>
        <v>NECOMPLETAT</v>
      </c>
      <c r="J12" s="101" t="str">
        <f ca="1"/>
        <v>a</v>
      </c>
      <c r="K12" s="4" t="str">
        <f ca="1"/>
        <v>…......</v>
      </c>
      <c r="L12" s="4" t="str">
        <f ca="1"/>
        <v>…......</v>
      </c>
    </row>
    <row r="13" spans="1:16" s="4" customFormat="1" ht="30" customHeight="1" x14ac:dyDescent="0.25">
      <c r="A13" s="101">
        <v>7</v>
      </c>
      <c r="B13" s="101" cm="1">
        <f t="array" aca="1" ref="B13:L13" ca="1">_xlfn._xlws.FILTER(Sheet1!A12:K872,Sheet1!A12:A872=RANDBETWEEN(1,861),"Fatal ERROR, this PC will explode in about 1 minute")</f>
        <v>223</v>
      </c>
      <c r="C13" s="112" t="str">
        <f ca="1"/>
        <v>Transformatoarele de măsurare de curent:</v>
      </c>
      <c r="D13" s="110" t="str">
        <f ca="1"/>
        <v xml:space="preserve"> pot fi racordate în circuitul primar cu înfăşurarea secundara deschisa</v>
      </c>
      <c r="E13" s="110" t="str">
        <f ca="1"/>
        <v xml:space="preserve"> pot fi lăsate în exploatare cu înfăşurarea secundara deschisa</v>
      </c>
      <c r="F13" s="111" t="str">
        <f ca="1"/>
        <v xml:space="preserve"> nu pot fi racordate in circuitul primar cu înfăşurarea secundara deschisa</v>
      </c>
      <c r="G13" s="4">
        <f ca="1"/>
        <v>0</v>
      </c>
      <c r="H13" s="4">
        <f ca="1"/>
        <v>0</v>
      </c>
      <c r="I13" s="101" t="str">
        <f ca="1"/>
        <v>NECOMPLETAT</v>
      </c>
      <c r="J13" s="101" t="str">
        <f ca="1"/>
        <v>…......</v>
      </c>
      <c r="K13" s="4" t="str">
        <f ca="1"/>
        <v>…......</v>
      </c>
      <c r="L13" s="4" t="str">
        <f ca="1"/>
        <v>c</v>
      </c>
    </row>
    <row r="14" spans="1:16" s="4" customFormat="1" ht="179.25" customHeight="1" x14ac:dyDescent="0.25">
      <c r="A14" s="101">
        <v>8</v>
      </c>
      <c r="B14" s="101" cm="1">
        <f t="array" aca="1" ref="B14:L14" ca="1">_xlfn._xlws.FILTER(Sheet1!A13:K873,Sheet1!A13:A873=RANDBETWEEN(1,861),"Fatal ERROR, this PC will explode in about 1 minute")</f>
        <v>417</v>
      </c>
      <c r="C14" s="113" t="str">
        <f ca="1"/>
        <v>Curentul de scurtcircuit reprezintă:</v>
      </c>
      <c r="D14" s="111" t="str">
        <f ca="1"/>
        <v>curentul nominal admisibil</v>
      </c>
      <c r="E14" s="111" t="str">
        <f ca="1"/>
        <v>supracurentul rezultat dintr-un scurtcircuit datorat unei conectări incorecte într-un circuit electric</v>
      </c>
      <c r="F14" s="111" t="str">
        <f ca="1"/>
        <v xml:space="preserve"> numai supracurentul rezultat în cazul dintr-un scurtcircuit datorat unui defect</v>
      </c>
      <c r="G14" s="4">
        <f ca="1"/>
        <v>0</v>
      </c>
      <c r="H14" s="4">
        <f ca="1"/>
        <v>0</v>
      </c>
      <c r="I14" s="101" t="str">
        <f ca="1"/>
        <v>NECOMPLETAT</v>
      </c>
      <c r="J14" s="101" t="str">
        <f ca="1"/>
        <v>…......</v>
      </c>
      <c r="K14" s="4" t="str">
        <f ca="1"/>
        <v>b</v>
      </c>
      <c r="L14" s="4" t="str">
        <f ca="1"/>
        <v>…......</v>
      </c>
    </row>
    <row r="15" spans="1:16" s="4" customFormat="1" ht="30" customHeight="1" x14ac:dyDescent="0.25">
      <c r="A15" s="101">
        <v>9</v>
      </c>
      <c r="B15" s="101" cm="1">
        <f t="array" aca="1" ref="B15:L15" ca="1">_xlfn._xlws.FILTER(Sheet1!A14:K874,Sheet1!A14:A874=RANDBETWEEN(1,861),"Fatal ERROR, this PC will explode in about 1 minute")</f>
        <v>628</v>
      </c>
      <c r="C15" s="109" t="str">
        <f ca="1"/>
        <v>Prevederile normativului  I 7 – 2011 se aplică la proiectarea, execuţia şi exploatarea instalaţiilor electrice aferente:</v>
      </c>
      <c r="D15" s="110" t="str">
        <f ca="1"/>
        <v>clădirilor prefabricate;</v>
      </c>
      <c r="E15" s="110" t="str">
        <f ca="1"/>
        <v xml:space="preserve">minelor şi carierelor </v>
      </c>
      <c r="F15" s="110" t="str">
        <f ca="1"/>
        <v>depozitelor de materiale pirotehnice şi explozive</v>
      </c>
      <c r="G15" s="4">
        <f ca="1"/>
        <v>0</v>
      </c>
      <c r="H15" s="4">
        <f ca="1"/>
        <v>0</v>
      </c>
      <c r="I15" s="101" t="str">
        <f ca="1"/>
        <v>NECOMPLETAT</v>
      </c>
      <c r="J15" s="101" t="str">
        <f ca="1"/>
        <v>a</v>
      </c>
      <c r="K15" s="4" t="str">
        <f ca="1"/>
        <v>…......</v>
      </c>
      <c r="L15" s="4" t="str">
        <f ca="1"/>
        <v>…......</v>
      </c>
    </row>
    <row r="16" spans="1:16" s="4" customFormat="1" ht="30" customHeight="1" x14ac:dyDescent="0.25">
      <c r="A16" s="101">
        <v>10</v>
      </c>
      <c r="B16" s="101" cm="1">
        <f t="array" aca="1" ref="B16:L16" ca="1">_xlfn._xlws.FILTER(Sheet1!A15:K875,Sheet1!A15:A875=RANDBETWEEN(1,861),"Fatal ERROR, this PC will explode in about 1 minute")</f>
        <v>178</v>
      </c>
      <c r="C16" s="109" t="str">
        <f ca="1"/>
        <v>Puterea electrică reactivă:</v>
      </c>
      <c r="D16" s="111" t="str">
        <f ca="1"/>
        <v>permite definirea limitelor de utilizare ale unui aparat electric</v>
      </c>
      <c r="E16" s="111" t="str">
        <f ca="1"/>
        <v>produce transformarea energiei electrice în energie mecanică</v>
      </c>
      <c r="F16" s="111" t="str">
        <f ca="1"/>
        <v xml:space="preserve">este variaţia în timp a energiei magnetice şi electrice </v>
      </c>
      <c r="G16" s="4">
        <f ca="1"/>
        <v>0</v>
      </c>
      <c r="H16" s="4">
        <f ca="1"/>
        <v>0</v>
      </c>
      <c r="I16" s="101" t="str">
        <f ca="1"/>
        <v>NECOMPLETAT</v>
      </c>
      <c r="J16" s="101" t="str">
        <f ca="1"/>
        <v>…......</v>
      </c>
      <c r="K16" s="4" t="str">
        <f ca="1"/>
        <v>…......</v>
      </c>
      <c r="L16" s="4" t="str">
        <f ca="1"/>
        <v>c</v>
      </c>
    </row>
    <row r="17" spans="1:12" s="4" customFormat="1" ht="30" customHeight="1" x14ac:dyDescent="0.25">
      <c r="A17" s="101">
        <v>11</v>
      </c>
      <c r="B17" s="101" cm="1">
        <f t="array" aca="1" ref="B17:L17" ca="1">_xlfn._xlws.FILTER(Sheet1!A16:K876,Sheet1!A16:A876=RANDBETWEEN(1,861),"Fatal ERROR, this PC will explode in about 1 minute")</f>
        <v>718</v>
      </c>
      <c r="C17" s="109" t="str">
        <f ca="1"/>
        <v xml:space="preserve">Punctele de măsurare din subcategoria C3 sunt puncte de măsurare dotate cu  grupuri de măsurare: </v>
      </c>
      <c r="D17" s="110" t="str">
        <f ca="1"/>
        <v xml:space="preserve">capabile să asigure date de măsurare la intervale de 60 de minute şi transmiterea bidirecţională a acestora la sistemul central de gestiune a datelor de măsurare la fiecare                                         24 de ore </v>
      </c>
      <c r="E17" s="111" t="str">
        <f ca="1"/>
        <v xml:space="preserve"> capabile să asigure date de măsurare la intervale de 15 minute şi transmiterea bidirecţională a acestora la sistemul central de gestiune a datelor de măsurare la fiecare 15 minute </v>
      </c>
      <c r="F17" s="111" t="str">
        <f ca="1"/>
        <v xml:space="preserve">cu citire locală </v>
      </c>
      <c r="G17" s="4">
        <f ca="1"/>
        <v>0</v>
      </c>
      <c r="H17" s="4">
        <f ca="1"/>
        <v>0</v>
      </c>
      <c r="I17" s="101" t="str">
        <f ca="1"/>
        <v>NECOMPLETAT</v>
      </c>
      <c r="J17" s="101" t="str">
        <f ca="1"/>
        <v>…......</v>
      </c>
      <c r="K17" s="4" t="str">
        <f ca="1"/>
        <v>…......</v>
      </c>
      <c r="L17" s="4" t="str">
        <f ca="1"/>
        <v>c</v>
      </c>
    </row>
    <row r="18" spans="1:12" s="4" customFormat="1" ht="20.25" customHeight="1" x14ac:dyDescent="0.25">
      <c r="A18" s="101">
        <v>12</v>
      </c>
      <c r="B18" s="101" cm="1">
        <f t="array" aca="1" ref="B18:L18" ca="1">_xlfn._xlws.FILTER(Sheet1!A17:K877,Sheet1!A17:A877=RANDBETWEEN(1,861),"Fatal ERROR, this PC will explode in about 1 minute")</f>
        <v>817</v>
      </c>
      <c r="C18" s="109" t="str">
        <f ca="1"/>
        <v xml:space="preserve">Contractul de distribuție se poate încheia între operatorul de distribuție și </v>
      </c>
      <c r="D18" s="111" t="str">
        <f ca="1"/>
        <v xml:space="preserve"> furnizorul clientului final, întotdeauna</v>
      </c>
      <c r="E18" s="111" t="str">
        <f ca="1"/>
        <v>clientul final, în anumite situaţii</v>
      </c>
      <c r="F18" s="111" t="str">
        <f ca="1"/>
        <v>furnizor şi clientul final</v>
      </c>
      <c r="G18" s="4">
        <f ca="1"/>
        <v>0</v>
      </c>
      <c r="H18" s="4">
        <f ca="1"/>
        <v>0</v>
      </c>
      <c r="I18" s="101" t="str">
        <f ca="1"/>
        <v>NECOMPLETAT</v>
      </c>
      <c r="J18" s="101" t="str">
        <f ca="1"/>
        <v>a</v>
      </c>
      <c r="K18" s="4" t="str">
        <f ca="1"/>
        <v>…......</v>
      </c>
      <c r="L18" s="4" t="str">
        <f ca="1"/>
        <v>…......</v>
      </c>
    </row>
    <row r="19" spans="1:12" s="4" customFormat="1" ht="45" customHeight="1" x14ac:dyDescent="0.25">
      <c r="A19" s="101">
        <v>13</v>
      </c>
      <c r="B19" s="101" cm="1">
        <f t="array" aca="1" ref="B19:L19" ca="1">_xlfn._xlws.FILTER(Sheet1!A18:K878,Sheet1!A18:A878=RANDBETWEEN(1,861),"Fatal ERROR, this PC will explode in about 1 minute")</f>
        <v>60</v>
      </c>
      <c r="C19" s="109" t="str">
        <f ca="1"/>
        <v>Efectul pelicular al curentului alternativ este utilizat în:</v>
      </c>
      <c r="D19" s="111" t="str">
        <f ca="1"/>
        <v>încălzirea materialelor prin inducţie</v>
      </c>
      <c r="E19" s="111" t="str">
        <f ca="1"/>
        <v>eliminarea dezechilibrelor din reţeaua electrică</v>
      </c>
      <c r="F19" s="111" t="str">
        <f ca="1"/>
        <v>eliminarea distorsiunilor undelor de curent</v>
      </c>
      <c r="G19" s="4">
        <f ca="1"/>
        <v>0</v>
      </c>
      <c r="H19" s="4">
        <f ca="1"/>
        <v>0</v>
      </c>
      <c r="I19" s="101" t="str">
        <f ca="1"/>
        <v>NECOMPLETAT</v>
      </c>
      <c r="J19" s="101" t="str">
        <f ca="1"/>
        <v>a</v>
      </c>
      <c r="K19" s="4" t="str">
        <f ca="1"/>
        <v>…......</v>
      </c>
      <c r="L19" s="4" t="str">
        <f ca="1"/>
        <v>…......</v>
      </c>
    </row>
    <row r="20" spans="1:12" s="4" customFormat="1" ht="30" customHeight="1" x14ac:dyDescent="0.25">
      <c r="A20" s="101">
        <v>14</v>
      </c>
      <c r="B20" s="101" cm="1">
        <f t="array" aca="1" ref="B20:L20" ca="1">_xlfn._xlws.FILTER(Sheet1!A19:K879,Sheet1!A19:A879=RANDBETWEEN(1,861),"Fatal ERROR, this PC will explode in about 1 minute")</f>
        <v>797</v>
      </c>
      <c r="C20" s="109" t="str">
        <f ca="1"/>
        <v xml:space="preserve">OD asigură sosirea echipei de intervenție în minimum de timp din momentul în care a luat cunoștință de întreruperea căii de alimentare/evacuare a energiei electrice la un loc de consum și/sau de producere, astfel încât restabilirea acesteia, după o întrerupere neplanificată, să se realizeze, </v>
      </c>
      <c r="D20" s="111" t="str">
        <f ca="1"/>
        <v>pentru mediul rural, în condiţii normale de vreme, în maximum18 ore</v>
      </c>
      <c r="E20" s="111" t="str">
        <f ca="1"/>
        <v>pentru mediul rural, în condiţii normale de vreme, în maximum 12 ore</v>
      </c>
      <c r="F20" s="111" t="str">
        <f ca="1"/>
        <v xml:space="preserve">pentru mediul rural, în condiţii normale de vreme, în maximum 24 ore </v>
      </c>
      <c r="G20" s="4">
        <f ca="1"/>
        <v>0</v>
      </c>
      <c r="H20" s="4">
        <f ca="1"/>
        <v>0</v>
      </c>
      <c r="I20" s="101" t="str">
        <f ca="1"/>
        <v>NECOMPLETAT</v>
      </c>
      <c r="J20" s="101" t="str">
        <f ca="1"/>
        <v>…......</v>
      </c>
      <c r="K20" s="4" t="str">
        <f ca="1"/>
        <v>…......</v>
      </c>
      <c r="L20" s="4" t="str">
        <f ca="1"/>
        <v>c</v>
      </c>
    </row>
    <row r="21" spans="1:12" s="4" customFormat="1" ht="45" customHeight="1" x14ac:dyDescent="0.25">
      <c r="A21" s="101">
        <v>15</v>
      </c>
      <c r="B21" s="101" cm="1">
        <f t="array" aca="1" ref="B21:L21" ca="1">_xlfn._xlws.FILTER(Sheet1!A20:K880,Sheet1!A20:A880=RANDBETWEEN(1,861),"Fatal ERROR, this PC will explode in about 1 minute")</f>
        <v>625</v>
      </c>
      <c r="C21" s="109" t="str">
        <f ca="1"/>
        <v>Posturile de transformare din reţeaua de distribuţie publică urbană de tip interior vor fi proiectate cu:</v>
      </c>
      <c r="D21" s="111" t="str">
        <f ca="1"/>
        <v>un singur transformator</v>
      </c>
      <c r="E21" s="111" t="str">
        <f ca="1"/>
        <v>cu două transformatoare</v>
      </c>
      <c r="F21" s="114" t="str">
        <f ca="1"/>
        <v>nu are importanţă</v>
      </c>
      <c r="G21" s="4">
        <f ca="1"/>
        <v>0</v>
      </c>
      <c r="H21" s="4">
        <f ca="1"/>
        <v>0</v>
      </c>
      <c r="I21" s="101" t="str">
        <f ca="1"/>
        <v>NECOMPLETAT</v>
      </c>
      <c r="J21" s="101" t="str">
        <f ca="1"/>
        <v>a</v>
      </c>
      <c r="K21" s="4" t="str">
        <f ca="1"/>
        <v>…......</v>
      </c>
      <c r="L21" s="4" t="str">
        <f ca="1"/>
        <v>…......</v>
      </c>
    </row>
    <row r="22" spans="1:12" s="4" customFormat="1" ht="45" customHeight="1" x14ac:dyDescent="0.25">
      <c r="A22" s="101">
        <v>16</v>
      </c>
      <c r="B22" s="101" cm="1">
        <f t="array" aca="1" ref="B22:L22" ca="1">_xlfn._xlws.FILTER(Sheet1!A21:K881,Sheet1!A21:A881=RANDBETWEEN(1,861),"Fatal ERROR, this PC will explode in about 1 minute")</f>
        <v>353</v>
      </c>
      <c r="C22" s="109" t="str">
        <f ca="1"/>
        <v>Amplasarea instalaţiilor electrice sub conducte sau utilaje pe care poate să apară condens:</v>
      </c>
      <c r="D22" s="111" t="str">
        <f ca="1"/>
        <v xml:space="preserve">se admite întotdeauna </v>
      </c>
      <c r="E22" s="111" t="str">
        <f ca="1"/>
        <v>este total interzisă</v>
      </c>
      <c r="F22" s="111" t="str">
        <f ca="1"/>
        <v>se admite condiţionat</v>
      </c>
      <c r="G22" s="4">
        <f ca="1"/>
        <v>0</v>
      </c>
      <c r="H22" s="4">
        <f ca="1"/>
        <v>0</v>
      </c>
      <c r="I22" s="101" t="str">
        <f ca="1"/>
        <v>NECOMPLETAT</v>
      </c>
      <c r="J22" s="101" t="str">
        <f ca="1"/>
        <v>…......</v>
      </c>
      <c r="K22" s="4" t="str">
        <f ca="1"/>
        <v>…......</v>
      </c>
      <c r="L22" s="4" t="str">
        <f ca="1"/>
        <v>c</v>
      </c>
    </row>
    <row r="23" spans="1:12" s="4" customFormat="1" ht="60" customHeight="1" x14ac:dyDescent="0.25">
      <c r="A23" s="101">
        <v>17</v>
      </c>
      <c r="B23" s="101" cm="1">
        <f t="array" aca="1" ref="B23:L23" ca="1">_xlfn._xlws.FILTER(Sheet1!A22:K882,Sheet1!A22:A882=RANDBETWEEN(1,861),"Fatal ERROR, this PC will explode in about 1 minute")</f>
        <v>608</v>
      </c>
      <c r="C23" s="109" t="str">
        <f ca="1"/>
        <v xml:space="preserve">Pentru instalaţiile electrice de iluminat şi putere (forţă): </v>
      </c>
      <c r="D23" s="111" t="str">
        <f ca="1"/>
        <v xml:space="preserve">se prevede întotdeauna tablou electric de distribuţie comun </v>
      </c>
      <c r="E23" s="111" t="str">
        <f ca="1"/>
        <v xml:space="preserve">se prevăd întotdeauna tablouri electrice  de distribuţie diferite </v>
      </c>
      <c r="F23" s="111" t="str">
        <f ca="1"/>
        <v>se prevede tablou electric de distribuţie comun, cu unele excepţii:</v>
      </c>
      <c r="G23" s="4">
        <f ca="1"/>
        <v>0</v>
      </c>
      <c r="H23" s="4">
        <f ca="1"/>
        <v>0</v>
      </c>
      <c r="I23" s="101" t="str">
        <f ca="1"/>
        <v>NECOMPLETAT</v>
      </c>
      <c r="J23" s="101" t="str">
        <f ca="1"/>
        <v>…......</v>
      </c>
      <c r="K23" s="4" t="str">
        <f ca="1"/>
        <v>…......</v>
      </c>
      <c r="L23" s="4" t="str">
        <f ca="1"/>
        <v>c</v>
      </c>
    </row>
    <row r="24" spans="1:12" s="4" customFormat="1" ht="61.5" customHeight="1" x14ac:dyDescent="0.25">
      <c r="A24" s="101">
        <v>18</v>
      </c>
      <c r="B24" s="101" cm="1">
        <f t="array" aca="1" ref="B24:L24" ca="1">_xlfn._xlws.FILTER(Sheet1!A23:K883,Sheet1!A23:A883=RANDBETWEEN(1,861),"Fatal ERROR, this PC will explode in about 1 minute")</f>
        <v>638</v>
      </c>
      <c r="C24" s="109" t="str">
        <f ca="1"/>
        <v>Protecţia motoarelor trifazate la suprasarcină se realizează cu un dispozitiv dependent de curent, cu temporizare, care monitorizează toate cele trei faze, reglat la .</v>
      </c>
      <c r="D24" s="111" t="str">
        <f ca="1"/>
        <v>cel mult 0,8 din valoarea curentului nominal al motorului</v>
      </c>
      <c r="E24" s="111" t="str">
        <f ca="1"/>
        <v>cel mult valoarea curentului nominal al motorului</v>
      </c>
      <c r="F24" s="111" t="str">
        <f ca="1"/>
        <v>cel mult 0,9 din valoarea curentului nominal al motorului</v>
      </c>
      <c r="G24" s="4">
        <f ca="1"/>
        <v>0</v>
      </c>
      <c r="H24" s="4">
        <f ca="1"/>
        <v>0</v>
      </c>
      <c r="I24" s="101" t="str">
        <f ca="1"/>
        <v>NECOMPLETAT</v>
      </c>
      <c r="J24" s="101" t="str">
        <f ca="1"/>
        <v>…......</v>
      </c>
      <c r="K24" s="4" t="str">
        <f ca="1"/>
        <v>b</v>
      </c>
      <c r="L24" s="4" t="str">
        <f ca="1"/>
        <v>…......</v>
      </c>
    </row>
    <row r="25" spans="1:12" s="4" customFormat="1" ht="45" customHeight="1" x14ac:dyDescent="0.25">
      <c r="A25" s="101">
        <v>19</v>
      </c>
      <c r="B25" s="101" cm="1">
        <f t="array" aca="1" ref="B25:L25" ca="1">_xlfn._xlws.FILTER(Sheet1!A24:K884,Sheet1!A24:A884=RANDBETWEEN(1,861),"Fatal ERROR, this PC will explode in about 1 minute")</f>
        <v>210</v>
      </c>
      <c r="C25" s="109" t="str">
        <f ca="1"/>
        <v>Spaţiul ocupat de o instalaţie capsulată depinde în principal de:</v>
      </c>
      <c r="D25" s="111" t="str">
        <f ca="1"/>
        <v>curentul nominal al legăturilor electrice;</v>
      </c>
      <c r="E25" s="111" t="str">
        <f ca="1"/>
        <v>mediul de stingere a arcului electric;</v>
      </c>
      <c r="F25" s="111" t="str">
        <f ca="1"/>
        <v>realizarea capsulării: capsulare tripolară sau monopolară.</v>
      </c>
      <c r="G25" s="4">
        <f ca="1"/>
        <v>0</v>
      </c>
      <c r="H25" s="4">
        <f ca="1"/>
        <v>0</v>
      </c>
      <c r="I25" s="101" t="str">
        <f ca="1"/>
        <v>NECOMPLETAT</v>
      </c>
      <c r="J25" s="101" t="str">
        <f ca="1"/>
        <v>…......</v>
      </c>
      <c r="K25" s="4" t="str">
        <f ca="1"/>
        <v>…......</v>
      </c>
      <c r="L25" s="4" t="str">
        <f ca="1"/>
        <v>c</v>
      </c>
    </row>
    <row r="26" spans="1:12" s="4" customFormat="1" ht="45" customHeight="1" x14ac:dyDescent="0.25">
      <c r="A26" s="101">
        <v>20</v>
      </c>
      <c r="B26" s="101" cm="1">
        <f t="array" aca="1" ref="B26:L26" ca="1">_xlfn._xlws.FILTER(Sheet1!A25:K885,Sheet1!A25:A885=RANDBETWEEN(1,861),"Fatal ERROR, this PC will explode in about 1 minute")</f>
        <v>416</v>
      </c>
      <c r="C26" s="109" t="str">
        <f ca="1"/>
        <v>Curentul de scurtcircuit permanent  reprezintă:</v>
      </c>
      <c r="D26" s="111" t="str">
        <f ca="1"/>
        <v>valoarea efectivă a curentului de scurtcircuit care rămâne după trecerea fenomenelor tranzitorii</v>
      </c>
      <c r="E26" s="111" t="str">
        <f ca="1"/>
        <v>curentul de scurtcircuit în momentul funcţionării protecţiei</v>
      </c>
      <c r="F26" s="111" t="str">
        <f ca="1"/>
        <v>valoarea medie a curentului de scurtcircuit dintre momentul producerii scurtcircuitului şi momentul funcţionării protecţiei</v>
      </c>
      <c r="G26" s="4">
        <f ca="1"/>
        <v>0</v>
      </c>
      <c r="H26" s="4">
        <f ca="1"/>
        <v>0</v>
      </c>
      <c r="I26" s="101" t="str">
        <f ca="1"/>
        <v>NECOMPLETAT</v>
      </c>
      <c r="J26" s="101" t="str">
        <f ca="1"/>
        <v>a</v>
      </c>
      <c r="K26" s="4" t="str">
        <f ca="1"/>
        <v>…......</v>
      </c>
      <c r="L26" s="4" t="str">
        <f ca="1"/>
        <v>…......</v>
      </c>
    </row>
    <row r="27" spans="1:12" s="4" customFormat="1" ht="30" customHeight="1" x14ac:dyDescent="0.25">
      <c r="A27" s="101">
        <v>21</v>
      </c>
      <c r="B27" s="101" cm="1">
        <f t="array" aca="1" ref="B27:L27" ca="1">_xlfn._xlws.FILTER(Sheet1!A26:K886,Sheet1!A26:A886=RANDBETWEEN(1,861),"Fatal ERROR, this PC will explode in about 1 minute")</f>
        <v>489</v>
      </c>
      <c r="C27" s="112" t="str">
        <f ca="1"/>
        <v>În reţelele de medie tensiune vor fi prevăzute elemente de separare montate:</v>
      </c>
      <c r="D27" s="110" t="str">
        <f ca="1"/>
        <v>numai la toate derivaţiile liniilor secundare din cele principale</v>
      </c>
      <c r="E27" s="110" t="str">
        <f ca="1"/>
        <v>numai la derivaţiile lungi ale liniilor secundare din cele principale</v>
      </c>
      <c r="F27" s="111" t="str">
        <f ca="1"/>
        <v xml:space="preserve">pe traseul liniilor principale
</v>
      </c>
      <c r="G27" s="4">
        <f ca="1"/>
        <v>0</v>
      </c>
      <c r="H27" s="4">
        <f ca="1"/>
        <v>0</v>
      </c>
      <c r="I27" s="101" t="str">
        <f ca="1"/>
        <v>NECOMPLETAT</v>
      </c>
      <c r="J27" s="101" t="str">
        <f ca="1"/>
        <v>…......</v>
      </c>
      <c r="K27" s="4" t="str">
        <f ca="1"/>
        <v>…......</v>
      </c>
      <c r="L27" s="4" t="str">
        <f ca="1"/>
        <v>c</v>
      </c>
    </row>
    <row r="28" spans="1:12" s="4" customFormat="1" ht="45" customHeight="1" x14ac:dyDescent="0.25">
      <c r="A28" s="101">
        <v>22</v>
      </c>
      <c r="B28" s="101" cm="1">
        <f t="array" aca="1" ref="B28:L28" ca="1">_xlfn._xlws.FILTER(Sheet1!A27:K887,Sheet1!A27:A887=RANDBETWEEN(1,861),"Fatal ERROR, this PC will explode in about 1 minute")</f>
        <v>318</v>
      </c>
      <c r="C28" s="109" t="str">
        <f ca="1"/>
        <v xml:space="preserve"> Protecţia circuitelor împotriva supracurenţilor electrici, care se prevede pe toate conductoarele de fază, trebuie să producă deconectarea:
 </v>
      </c>
      <c r="D28" s="111" t="str">
        <f ca="1"/>
        <v xml:space="preserve"> neapărat a tuturor conductoarelor active</v>
      </c>
      <c r="E28" s="111" t="str">
        <f ca="1"/>
        <v>de regulă numai a conductorului în care este detectat supracurentul</v>
      </c>
      <c r="F28" s="111" t="str">
        <f ca="1"/>
        <v>întotdeauna numai a conductorului în care este detectat supracurentul</v>
      </c>
      <c r="G28" s="4">
        <f ca="1"/>
        <v>0</v>
      </c>
      <c r="H28" s="4">
        <f ca="1"/>
        <v>0</v>
      </c>
      <c r="I28" s="101" t="str">
        <f ca="1"/>
        <v>NECOMPLETAT</v>
      </c>
      <c r="J28" s="101" t="str">
        <f ca="1"/>
        <v>…......</v>
      </c>
      <c r="K28" s="4" t="str">
        <f ca="1"/>
        <v>b</v>
      </c>
      <c r="L28" s="4" t="str">
        <f ca="1"/>
        <v>…......</v>
      </c>
    </row>
    <row r="29" spans="1:12" s="4" customFormat="1" ht="86.25" customHeight="1" x14ac:dyDescent="0.25">
      <c r="A29" s="101">
        <v>23</v>
      </c>
      <c r="B29" s="101" cm="1">
        <f t="array" aca="1" ref="B29:L29" ca="1">_xlfn._xlws.FILTER(Sheet1!A28:K888,Sheet1!A28:A888=RANDBETWEEN(1,861),"Fatal ERROR, this PC will explode in about 1 minute")</f>
        <v>539</v>
      </c>
      <c r="C29" s="115" t="str">
        <f ca="1"/>
        <v>La LEA 220 kV, pentru realizarea creşterii nivelului de izolaţie, numărul de izolatoare  tip capă-tijă dintr-un lanţ,  determinat conform  NTE 001/03/00  :</v>
      </c>
      <c r="D29" s="111" t="str">
        <f ca="1"/>
        <v xml:space="preserve">se mărește cu o bucată </v>
      </c>
      <c r="E29" s="111" t="str">
        <f ca="1"/>
        <v>se mărește cu două  bucăţi.</v>
      </c>
      <c r="F29" s="111" t="str">
        <f ca="1"/>
        <v>se mărește cu trei  bucăţi.</v>
      </c>
      <c r="G29" s="4">
        <f ca="1"/>
        <v>0</v>
      </c>
      <c r="H29" s="4">
        <f ca="1"/>
        <v>0</v>
      </c>
      <c r="I29" s="101" t="str">
        <f ca="1"/>
        <v>NECOMPLETAT</v>
      </c>
      <c r="J29" s="101" t="str">
        <f ca="1"/>
        <v>…......</v>
      </c>
      <c r="K29" s="4" t="str">
        <f ca="1"/>
        <v>b</v>
      </c>
      <c r="L29" s="4" t="str">
        <f ca="1"/>
        <v>…......</v>
      </c>
    </row>
    <row r="30" spans="1:12" s="4" customFormat="1" ht="89.25" customHeight="1" x14ac:dyDescent="0.25">
      <c r="A30" s="101">
        <v>24</v>
      </c>
      <c r="B30" s="101" cm="1">
        <f t="array" aca="1" ref="B30:L30" ca="1">_xlfn._xlws.FILTER(Sheet1!A29:K889,Sheet1!A29:A889=RANDBETWEEN(1,861),"Fatal ERROR, this PC will explode in about 1 minute")</f>
        <v>338</v>
      </c>
      <c r="C30" s="115" t="str">
        <f ca="1"/>
        <v xml:space="preserve">Abrevierea TN-C  înseamnă </v>
      </c>
      <c r="D30" s="111" t="str">
        <f ca="1"/>
        <v xml:space="preserve"> reţea cu punctul neutru al transformatorului legat la pământ şi masele legate la prize de pământ independente.
</v>
      </c>
      <c r="E30" s="111" t="str">
        <f ca="1"/>
        <v xml:space="preserve"> reţea cu punctul neutru al transformatorului legat la pământ şi conductor cu funcţii comune: de protecţie şi neutru;</v>
      </c>
      <c r="F30" s="111" t="str">
        <f ca="1"/>
        <v xml:space="preserve"> reţea cu punctul neutru al transformatorului legat la pământ şi conductoare distincte pentru funcţiile de protecţie şi neutru</v>
      </c>
      <c r="G30" s="4">
        <f ca="1"/>
        <v>0</v>
      </c>
      <c r="H30" s="4">
        <f ca="1"/>
        <v>0</v>
      </c>
      <c r="I30" s="101" t="str">
        <f ca="1"/>
        <v>NECOMPLETAT</v>
      </c>
      <c r="J30" s="101" t="str">
        <f ca="1"/>
        <v>…......</v>
      </c>
      <c r="K30" s="4" t="str">
        <f ca="1"/>
        <v>b</v>
      </c>
      <c r="L30" s="4" t="str">
        <f ca="1"/>
        <v>…......</v>
      </c>
    </row>
    <row r="31" spans="1:12" s="4" customFormat="1" ht="87.75" customHeight="1" x14ac:dyDescent="0.25">
      <c r="A31" s="101">
        <v>25</v>
      </c>
      <c r="B31" s="101" cm="1">
        <f t="array" aca="1" ref="B31:L31" ca="1">_xlfn._xlws.FILTER(Sheet1!A30:K890,Sheet1!A30:A890=RANDBETWEEN(1,861),"Fatal ERROR, this PC will explode in about 1 minute")</f>
        <v>722</v>
      </c>
      <c r="C31" s="115" t="str">
        <f ca="1"/>
        <v xml:space="preserve">O persoană care deţinea în proprietate sau în folosinţă o reţea electrică de distribuţie proprie la data intrării în vigoare Legii nr,123/2012: </v>
      </c>
      <c r="D31" s="111" t="str">
        <f ca="1"/>
        <v>nu are obligaţii privind asigurarea accesului la reţea</v>
      </c>
      <c r="E31" s="111" t="str">
        <f ca="1"/>
        <v xml:space="preserve">este obligată să asigure accesul la reţea numai pentru producători de energie electrică din surse regenerabile </v>
      </c>
      <c r="F31" s="111" t="str">
        <f ca="1"/>
        <v>este obligată să asigure accesul la reţea, conform reglementărilor autorităţii competente</v>
      </c>
      <c r="G31" s="4">
        <f ca="1"/>
        <v>0</v>
      </c>
      <c r="H31" s="4">
        <f ca="1"/>
        <v>0</v>
      </c>
      <c r="I31" s="101" t="str">
        <f ca="1"/>
        <v>NECOMPLETAT</v>
      </c>
      <c r="J31" s="101" t="str">
        <f ca="1"/>
        <v>…......</v>
      </c>
      <c r="K31" s="4" t="str">
        <f ca="1"/>
        <v>…......</v>
      </c>
      <c r="L31" s="4" t="str">
        <f ca="1"/>
        <v>c</v>
      </c>
    </row>
  </sheetData>
  <autoFilter ref="B6:I31" xr:uid="{00000000-0001-0000-0000-000000000000}"/>
  <conditionalFormatting sqref="D7:D31">
    <cfRule type="expression" dxfId="11" priority="6">
      <formula>IF($I7=$K7,TRUE)</formula>
    </cfRule>
  </conditionalFormatting>
  <conditionalFormatting sqref="E7:E31">
    <cfRule type="expression" dxfId="10" priority="5">
      <formula>IF($I7=$L7,TRUE)</formula>
    </cfRule>
  </conditionalFormatting>
  <conditionalFormatting sqref="F7:F31">
    <cfRule type="expression" dxfId="9" priority="4">
      <formula>IF($I7=$M7,TRUE)</formula>
    </cfRule>
  </conditionalFormatting>
  <conditionalFormatting sqref="I7:I31">
    <cfRule type="expression" dxfId="8" priority="1">
      <formula>IF($J7="NECOMPLETAT",TRUE)</formula>
    </cfRule>
    <cfRule type="expression" dxfId="7" priority="2">
      <formula>IF($J7="GRESIT",TRUE)</formula>
    </cfRule>
    <cfRule type="expression" dxfId="6" priority="3">
      <formula>IF($J7="CORECT",TRUE)</formula>
    </cfRule>
  </conditionalFormatting>
  <dataValidations count="1">
    <dataValidation type="list" allowBlank="1" showDropDown="1" showInputMessage="1" showErrorMessage="1" errorTitle="VARIANTE" error="Alege una dintre variantele _x000a_ a_x000a_ b_x000a_ c" promptTitle="Alege o varianta" prompt="a_x000a_b_x000a_c" sqref="I7:I31" xr:uid="{26AEFFD8-BB3F-4A69-91BD-A40F6B663D1D}">
      <formula1>"a,b,c,A,B,C"</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6FFB3-3F64-4133-B7B5-1CD83E6F4D9A}">
  <dimension ref="A2:H7"/>
  <sheetViews>
    <sheetView workbookViewId="0">
      <selection activeCell="B17" sqref="B17"/>
    </sheetView>
  </sheetViews>
  <sheetFormatPr defaultRowHeight="15" x14ac:dyDescent="0.25"/>
  <cols>
    <col min="2" max="2" width="54.28515625" customWidth="1"/>
    <col min="3" max="5" width="35.7109375" customWidth="1"/>
  </cols>
  <sheetData>
    <row r="2" spans="1:8" x14ac:dyDescent="0.25">
      <c r="G2" t="s">
        <v>3190</v>
      </c>
      <c r="H2" t="s">
        <v>3191</v>
      </c>
    </row>
    <row r="3" spans="1:8" ht="75" x14ac:dyDescent="0.25">
      <c r="A3" s="27">
        <v>193</v>
      </c>
      <c r="B3" s="10" t="s">
        <v>957</v>
      </c>
      <c r="C3" s="57" t="s">
        <v>958</v>
      </c>
      <c r="D3" s="57" t="s">
        <v>959</v>
      </c>
      <c r="E3" s="83" t="s">
        <v>960</v>
      </c>
      <c r="G3" t="s">
        <v>2853</v>
      </c>
      <c r="H3" t="s">
        <v>2854</v>
      </c>
    </row>
    <row r="4" spans="1:8" ht="30" x14ac:dyDescent="0.25">
      <c r="A4" s="27">
        <v>207</v>
      </c>
      <c r="B4" s="10" t="s">
        <v>894</v>
      </c>
      <c r="C4" s="57" t="s">
        <v>423</v>
      </c>
      <c r="D4" s="57" t="s">
        <v>847</v>
      </c>
      <c r="E4" s="83" t="s">
        <v>848</v>
      </c>
      <c r="G4" t="s">
        <v>2853</v>
      </c>
      <c r="H4" t="s">
        <v>2855</v>
      </c>
    </row>
    <row r="5" spans="1:8" ht="30" x14ac:dyDescent="0.25">
      <c r="A5" s="27">
        <v>210</v>
      </c>
      <c r="B5" s="10" t="s">
        <v>653</v>
      </c>
      <c r="C5" s="57" t="s">
        <v>654</v>
      </c>
      <c r="D5" s="57" t="s">
        <v>655</v>
      </c>
      <c r="E5" s="83" t="s">
        <v>889</v>
      </c>
      <c r="G5" t="s">
        <v>2855</v>
      </c>
      <c r="H5" t="s">
        <v>2854</v>
      </c>
    </row>
    <row r="6" spans="1:8" ht="30" x14ac:dyDescent="0.25">
      <c r="A6" s="27">
        <v>214</v>
      </c>
      <c r="B6" s="10" t="s">
        <v>668</v>
      </c>
      <c r="C6" s="57" t="s">
        <v>669</v>
      </c>
      <c r="D6" s="57" t="s">
        <v>970</v>
      </c>
      <c r="E6" s="82" t="s">
        <v>670</v>
      </c>
      <c r="G6" t="s">
        <v>2854</v>
      </c>
      <c r="H6" t="s">
        <v>2855</v>
      </c>
    </row>
    <row r="7" spans="1:8" ht="30" x14ac:dyDescent="0.25">
      <c r="A7" s="27">
        <v>233</v>
      </c>
      <c r="B7" s="10" t="s">
        <v>872</v>
      </c>
      <c r="C7" s="57" t="s">
        <v>858</v>
      </c>
      <c r="D7" s="57" t="s">
        <v>975</v>
      </c>
      <c r="E7" s="83" t="s">
        <v>729</v>
      </c>
      <c r="G7" t="s">
        <v>2853</v>
      </c>
      <c r="H7" t="s">
        <v>2855</v>
      </c>
    </row>
  </sheetData>
  <conditionalFormatting sqref="C3">
    <cfRule type="expression" dxfId="5" priority="18">
      <formula>IF($G2=$I3,TRUE)</formula>
    </cfRule>
  </conditionalFormatting>
  <conditionalFormatting sqref="C4:C7">
    <cfRule type="expression" dxfId="4" priority="3">
      <formula>IF($G4=$I4,TRUE)</formula>
    </cfRule>
  </conditionalFormatting>
  <conditionalFormatting sqref="D3">
    <cfRule type="expression" dxfId="3" priority="19">
      <formula>IF($G2=$J3,TRUE)</formula>
    </cfRule>
  </conditionalFormatting>
  <conditionalFormatting sqref="D4:D7">
    <cfRule type="expression" dxfId="2" priority="2">
      <formula>IF($G4=$J4,TRUE)</formula>
    </cfRule>
  </conditionalFormatting>
  <conditionalFormatting sqref="E3">
    <cfRule type="expression" dxfId="1" priority="20">
      <formula>IF($G2=$K3,TRUE)</formula>
    </cfRule>
  </conditionalFormatting>
  <conditionalFormatting sqref="E4:E7">
    <cfRule type="expression" dxfId="0" priority="1">
      <formula>IF($G4=$K4,TRUE)</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QUIZ</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2026-09-15T20:56:50Z</dcterms:modified>
</cp:coreProperties>
</file>